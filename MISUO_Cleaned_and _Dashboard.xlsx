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bdallah\Downloads\Data\"/>
    </mc:Choice>
  </mc:AlternateContent>
  <xr:revisionPtr revIDLastSave="0" documentId="8_{6C68BF6A-427B-494E-9969-1FFB4BF7486F}" xr6:coauthVersionLast="47" xr6:coauthVersionMax="47" xr10:uidLastSave="{00000000-0000-0000-0000-000000000000}"/>
  <bookViews>
    <workbookView xWindow="-120" yWindow="-120" windowWidth="19440" windowHeight="15000" firstSheet="4" activeTab="9" xr2:uid="{00000000-000D-0000-FFFF-FFFF00000000}"/>
  </bookViews>
  <sheets>
    <sheet name="الارشادات" sheetId="3" r:id="rId1"/>
    <sheet name="Table1" sheetId="7" r:id="rId2"/>
    <sheet name="Table1 (2)" sheetId="10" r:id="rId3"/>
    <sheet name="Table1 (3)" sheetId="11" r:id="rId4"/>
    <sheet name="Table1 (4)" sheetId="12" r:id="rId5"/>
    <sheet name="البيانات" sheetId="1" r:id="rId6"/>
    <sheet name="Sheet5" sheetId="9" r:id="rId7"/>
    <sheet name="Sheet2" sheetId="15" r:id="rId8"/>
    <sheet name="Sheet3" sheetId="16" r:id="rId9"/>
    <sheet name="Dashboard" sheetId="14" r:id="rId10"/>
  </sheets>
  <definedNames>
    <definedName name="_xlnm._FilterDatabase" localSheetId="5" hidden="1">البيانات!$A$1:$W$127</definedName>
    <definedName name="ExternalData_1" localSheetId="1" hidden="1">Table1!$A$1:$B$127</definedName>
    <definedName name="ExternalData_1" localSheetId="2" hidden="1">'Table1 (2)'!$A$1:$E$127</definedName>
    <definedName name="ExternalData_1" localSheetId="3" hidden="1">'Table1 (3)'!$A$1:$B$127</definedName>
    <definedName name="ExternalData_1" localSheetId="4" hidden="1">'Table1 (4)'!$A$1:$B$127</definedName>
    <definedName name="Slicer_الحالة">#N/A</definedName>
    <definedName name="Slicer_ميعاد_الطلب">#N/A</definedName>
  </definedNames>
  <calcPr calcId="191028"/>
  <pivotCaches>
    <pivotCache cacheId="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5" i="9" l="1"/>
  <c r="N15" i="9"/>
  <c r="O14" i="9"/>
  <c r="N14" i="9"/>
  <c r="O13" i="9"/>
  <c r="N13" i="9"/>
  <c r="O12" i="9"/>
  <c r="N12" i="9"/>
  <c r="O11" i="9"/>
  <c r="N11" i="9"/>
  <c r="O10" i="9"/>
  <c r="N10" i="9"/>
  <c r="O8" i="9"/>
  <c r="N8" i="9"/>
  <c r="O7" i="9"/>
  <c r="R3"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Q29" i="1"/>
  <c r="Q30" i="1"/>
  <c r="Q31" i="1"/>
  <c r="Q32" i="1"/>
  <c r="Q34" i="1"/>
  <c r="Q36" i="1"/>
  <c r="P36" i="1" s="1"/>
  <c r="Q37" i="1"/>
  <c r="P37" i="1" s="1"/>
  <c r="Q38" i="1"/>
  <c r="P38" i="1" s="1"/>
  <c r="Q39" i="1"/>
  <c r="P39" i="1" s="1"/>
  <c r="Q40" i="1"/>
  <c r="P40" i="1" s="1"/>
  <c r="Q41" i="1"/>
  <c r="P41" i="1" s="1"/>
  <c r="Q42" i="1"/>
  <c r="P42" i="1" s="1"/>
  <c r="Q43" i="1"/>
  <c r="P43" i="1" s="1"/>
  <c r="Q44" i="1"/>
  <c r="P44" i="1" s="1"/>
  <c r="Q45" i="1"/>
  <c r="P45" i="1" s="1"/>
  <c r="Q46" i="1"/>
  <c r="P46" i="1" s="1"/>
  <c r="Q47" i="1"/>
  <c r="P47" i="1" s="1"/>
  <c r="Q48" i="1"/>
  <c r="P48" i="1" s="1"/>
  <c r="Q49" i="1"/>
  <c r="Q50" i="1"/>
  <c r="P50" i="1" s="1"/>
  <c r="Q51" i="1"/>
  <c r="P51" i="1" s="1"/>
  <c r="Q52" i="1"/>
  <c r="P52" i="1" s="1"/>
  <c r="Q53" i="1"/>
  <c r="P53" i="1" s="1"/>
  <c r="Q54" i="1"/>
  <c r="P54" i="1" s="1"/>
  <c r="Q55" i="1"/>
  <c r="P55" i="1" s="1"/>
  <c r="Q56" i="1"/>
  <c r="P56" i="1" s="1"/>
  <c r="Q57" i="1"/>
  <c r="P57" i="1" s="1"/>
  <c r="Q58" i="1"/>
  <c r="P58" i="1" s="1"/>
  <c r="Q59" i="1"/>
  <c r="P59" i="1" s="1"/>
  <c r="Q60" i="1"/>
  <c r="P60" i="1" s="1"/>
  <c r="Q61" i="1"/>
  <c r="P61" i="1" s="1"/>
  <c r="Q62" i="1"/>
  <c r="P62" i="1" s="1"/>
  <c r="Q63" i="1"/>
  <c r="P63" i="1" s="1"/>
  <c r="Q64" i="1"/>
  <c r="P64" i="1" s="1"/>
  <c r="Q65" i="1"/>
  <c r="P65" i="1" s="1"/>
  <c r="Q70" i="1"/>
  <c r="P70" i="1" s="1"/>
  <c r="Q71" i="1"/>
  <c r="P71" i="1" s="1"/>
  <c r="Q72" i="1"/>
  <c r="P72" i="1" s="1"/>
  <c r="Q73" i="1"/>
  <c r="P73" i="1" s="1"/>
  <c r="Q74" i="1"/>
  <c r="P74" i="1" s="1"/>
  <c r="Q75" i="1"/>
  <c r="P75" i="1" s="1"/>
  <c r="Q76" i="1"/>
  <c r="P76" i="1" s="1"/>
  <c r="Q77" i="1"/>
  <c r="Q78" i="1"/>
  <c r="P78" i="1" s="1"/>
  <c r="Q79" i="1"/>
  <c r="P79" i="1" s="1"/>
  <c r="Q80" i="1"/>
  <c r="P80" i="1" s="1"/>
  <c r="Q81" i="1"/>
  <c r="P81" i="1" s="1"/>
  <c r="Q82" i="1"/>
  <c r="P82" i="1" s="1"/>
  <c r="Q83" i="1"/>
  <c r="P83" i="1" s="1"/>
  <c r="Q84" i="1"/>
  <c r="P84" i="1" s="1"/>
  <c r="Q85" i="1"/>
  <c r="P85" i="1" s="1"/>
  <c r="Q86" i="1"/>
  <c r="P86" i="1" s="1"/>
  <c r="Q87" i="1"/>
  <c r="P87" i="1" s="1"/>
  <c r="Q88" i="1"/>
  <c r="P88" i="1" s="1"/>
  <c r="Q89" i="1"/>
  <c r="P89" i="1" s="1"/>
  <c r="Q90" i="1"/>
  <c r="P90" i="1" s="1"/>
  <c r="Q91" i="1"/>
  <c r="P91" i="1" s="1"/>
  <c r="Q92" i="1"/>
  <c r="P92" i="1" s="1"/>
  <c r="Q93" i="1"/>
  <c r="P93" i="1" s="1"/>
  <c r="Q94" i="1"/>
  <c r="P94" i="1" s="1"/>
  <c r="Q95" i="1"/>
  <c r="P95" i="1" s="1"/>
  <c r="Q96" i="1"/>
  <c r="P96" i="1" s="1"/>
  <c r="Q97" i="1"/>
  <c r="P97" i="1" s="1"/>
  <c r="Q98" i="1"/>
  <c r="P98" i="1" s="1"/>
  <c r="Q99" i="1"/>
  <c r="P99" i="1" s="1"/>
  <c r="Q100" i="1"/>
  <c r="P100" i="1" s="1"/>
  <c r="Q101" i="1"/>
  <c r="P101" i="1" s="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28" i="1"/>
  <c r="Q27" i="1"/>
  <c r="Q26" i="1"/>
  <c r="Q25" i="1"/>
  <c r="Q24" i="1"/>
  <c r="Q23" i="1"/>
  <c r="Q22" i="1"/>
  <c r="Q21" i="1"/>
  <c r="Q20" i="1"/>
  <c r="Q19" i="1"/>
  <c r="Q18" i="1"/>
  <c r="Q17" i="1"/>
  <c r="Q16" i="1"/>
  <c r="Q15" i="1"/>
  <c r="Q14" i="1"/>
  <c r="Q13" i="1"/>
  <c r="Q12" i="1"/>
  <c r="Q11" i="1"/>
  <c r="Q10" i="1"/>
  <c r="Q9" i="1"/>
  <c r="Q8" i="1"/>
  <c r="Q7" i="1"/>
  <c r="Q6" i="1"/>
  <c r="Q5" i="1"/>
  <c r="U35" i="1"/>
  <c r="Q35" i="1" s="1"/>
  <c r="T102" i="1"/>
  <c r="R102" i="1" s="1"/>
  <c r="S69" i="1"/>
  <c r="Q69" i="1" s="1"/>
  <c r="S67" i="1"/>
  <c r="Q67" i="1" s="1"/>
  <c r="S68" i="1"/>
  <c r="Q68" i="1" s="1"/>
  <c r="S66" i="1"/>
  <c r="R66" i="1" s="1"/>
  <c r="S33" i="1"/>
  <c r="Q33" i="1" s="1"/>
  <c r="S2" i="1"/>
  <c r="R2" i="1" s="1"/>
  <c r="S3" i="1"/>
  <c r="S4" i="1"/>
  <c r="Q4"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7" i="9"/>
  <c r="O6" i="9"/>
  <c r="N6" i="9"/>
  <c r="BC7" i="9"/>
  <c r="AO6" i="9"/>
  <c r="P49" i="1" l="1"/>
  <c r="P34" i="1"/>
  <c r="P77" i="1"/>
  <c r="P35" i="1"/>
  <c r="P124" i="1"/>
  <c r="P120" i="1"/>
  <c r="P116" i="1"/>
  <c r="P112" i="1"/>
  <c r="P108" i="1"/>
  <c r="P104" i="1"/>
  <c r="P30" i="1"/>
  <c r="P6" i="1"/>
  <c r="P10" i="1"/>
  <c r="P14" i="1"/>
  <c r="P18" i="1"/>
  <c r="P22" i="1"/>
  <c r="P26" i="1"/>
  <c r="P8" i="1"/>
  <c r="P12" i="1"/>
  <c r="P16" i="1"/>
  <c r="P20" i="1"/>
  <c r="P24" i="1"/>
  <c r="P28" i="1"/>
  <c r="P126" i="1"/>
  <c r="P122" i="1"/>
  <c r="P118" i="1"/>
  <c r="P114" i="1"/>
  <c r="P110" i="1"/>
  <c r="P106" i="1"/>
  <c r="P102" i="1"/>
  <c r="P32" i="1"/>
  <c r="P5" i="1"/>
  <c r="P9" i="1"/>
  <c r="P13" i="1"/>
  <c r="P17" i="1"/>
  <c r="P21" i="1"/>
  <c r="P25" i="1"/>
  <c r="P127" i="1"/>
  <c r="P123" i="1"/>
  <c r="P119" i="1"/>
  <c r="P115" i="1"/>
  <c r="P111" i="1"/>
  <c r="P107" i="1"/>
  <c r="P103" i="1"/>
  <c r="P29" i="1"/>
  <c r="P7" i="1"/>
  <c r="P11" i="1"/>
  <c r="P15" i="1"/>
  <c r="P19" i="1"/>
  <c r="P23" i="1"/>
  <c r="P27" i="1"/>
  <c r="P125" i="1"/>
  <c r="P121" i="1"/>
  <c r="P117" i="1"/>
  <c r="P113" i="1"/>
  <c r="P109" i="1"/>
  <c r="P105" i="1"/>
  <c r="P31" i="1"/>
  <c r="Q2" i="1"/>
  <c r="P2" i="1" s="1"/>
  <c r="Q66" i="1"/>
  <c r="P66" i="1" s="1"/>
  <c r="R69" i="1"/>
  <c r="P69" i="1" s="1"/>
  <c r="R33" i="1"/>
  <c r="P33" i="1" s="1"/>
  <c r="Q3" i="1"/>
  <c r="P3" i="1" s="1"/>
  <c r="R68" i="1"/>
  <c r="P68" i="1" s="1"/>
  <c r="R4" i="1"/>
  <c r="P4" i="1" s="1"/>
  <c r="R67" i="1"/>
  <c r="P6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53A2B5-5CBE-4EB3-816F-B69BBF20FD6B}"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7450816D-81E3-4897-ACCF-D11AA9455721}" keepAlive="1" name="Query - Table1 (2)" description="Connection to the 'Table1 (2)' query in the workbook." type="5" refreshedVersion="7" background="1" saveData="1">
    <dbPr connection="Provider=Microsoft.Mashup.OleDb.1;Data Source=$Workbook$;Location=&quot;Table1 (2)&quot;;Extended Properties=&quot;&quot;" command="SELECT * FROM [Table1 (2)]"/>
  </connection>
  <connection id="3" xr16:uid="{0930DA81-9185-4DFB-8AB7-74170DD53374}" keepAlive="1" name="Query - Table1 (3)" description="Connection to the 'Table1 (3)' query in the workbook." type="5" refreshedVersion="7" background="1" saveData="1">
    <dbPr connection="Provider=Microsoft.Mashup.OleDb.1;Data Source=$Workbook$;Location=&quot;Table1 (3)&quot;;Extended Properties=&quot;&quot;" command="SELECT * FROM [Table1 (3)]"/>
  </connection>
  <connection id="4" xr16:uid="{F5B198C7-AD98-457B-A69F-635F0DC0270C}" keepAlive="1" name="Query - Table1 (4)" description="Connection to the 'Table1 (4)' query in the workbook." type="5" refreshedVersion="7" background="1" saveData="1">
    <dbPr connection="Provider=Microsoft.Mashup.OleDb.1;Data Source=$Workbook$;Location=&quot;Table1 (4)&quot;;Extended Properties=&quot;&quot;" command="SELECT * FROM [Table1 (4)]"/>
  </connection>
</connections>
</file>

<file path=xl/sharedStrings.xml><?xml version="1.0" encoding="utf-8"?>
<sst xmlns="http://schemas.openxmlformats.org/spreadsheetml/2006/main" count="2742" uniqueCount="371">
  <si>
    <t>أسم العميل</t>
  </si>
  <si>
    <t>العنوان</t>
  </si>
  <si>
    <t>المنتج</t>
  </si>
  <si>
    <t>تاريخ التسليم</t>
  </si>
  <si>
    <t>المسئول عن التسليم</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</si>
  <si>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</si>
  <si>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</si>
  <si>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</si>
  <si>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</si>
  <si>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</si>
  <si>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</si>
  <si>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</si>
  <si>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</si>
  <si>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</si>
  <si>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</si>
  <si>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محمود</t>
  </si>
  <si>
    <t>سموحه - اسكندريه</t>
  </si>
  <si>
    <t xml:space="preserve">سرير منطبق اسود والقماش اسود </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</si>
  <si>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</si>
  <si>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</si>
  <si>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</si>
  <si>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</si>
  <si>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</si>
  <si>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</si>
  <si>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</si>
  <si>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</si>
  <si>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</si>
  <si>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</si>
  <si>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</si>
  <si>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</si>
  <si>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التجمع الخامس</t>
  </si>
  <si>
    <t>فيس بوك</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</si>
  <si>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</si>
  <si>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</si>
  <si>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</si>
  <si>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</si>
  <si>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</si>
  <si>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</si>
  <si>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</si>
  <si>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</si>
  <si>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</si>
  <si>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</si>
  <si>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</si>
  <si>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</si>
  <si>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</si>
  <si>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</si>
  <si>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</si>
  <si>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</si>
  <si>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</si>
  <si>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</si>
  <si>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</si>
  <si>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</si>
  <si>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</si>
  <si>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</si>
  <si>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</si>
  <si>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</si>
  <si>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</si>
  <si>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</si>
  <si>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</si>
  <si>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</si>
  <si>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</si>
  <si>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</si>
  <si>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</si>
  <si>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</si>
  <si>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</si>
  <si>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</si>
  <si>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</si>
  <si>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</si>
  <si>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</si>
  <si>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</si>
  <si>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</si>
  <si>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</si>
  <si>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</si>
  <si>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</si>
  <si>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</si>
  <si>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</si>
  <si>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</si>
  <si>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</si>
  <si>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</si>
  <si>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</si>
  <si>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</si>
  <si>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</si>
  <si>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</si>
  <si>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</si>
  <si>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</si>
  <si>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</si>
  <si>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</si>
  <si>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</si>
  <si>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</si>
  <si>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</si>
  <si>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</si>
  <si>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</si>
  <si>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</si>
  <si>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</si>
  <si>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</si>
  <si>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</si>
  <si>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</si>
  <si>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</si>
  <si>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</si>
  <si>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</si>
  <si>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</si>
  <si>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</si>
  <si>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</si>
  <si>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</si>
  <si>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</si>
  <si>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</si>
  <si>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</si>
  <si>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</si>
  <si>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</si>
  <si>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</si>
  <si>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</si>
  <si>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</si>
  <si>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</si>
  <si>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</si>
  <si>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</si>
  <si>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</si>
  <si>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</si>
  <si>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</si>
  <si>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</si>
  <si>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</si>
  <si>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</si>
  <si>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</si>
  <si>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</si>
  <si>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</si>
  <si>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</si>
  <si>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</si>
  <si>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</si>
  <si>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</si>
  <si>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</si>
  <si>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</si>
  <si>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</si>
  <si>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</si>
  <si>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</si>
  <si>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</si>
  <si>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</si>
  <si>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</si>
  <si>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</si>
  <si>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</si>
  <si>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</si>
  <si>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</si>
  <si>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</si>
  <si>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</si>
  <si>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</si>
  <si>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</si>
  <si>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</si>
  <si>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</si>
  <si>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</si>
  <si>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</si>
  <si>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سحارة</t>
  </si>
  <si>
    <t>ركنة بسرير</t>
  </si>
  <si>
    <t>كنبة</t>
  </si>
  <si>
    <t>فنسيا</t>
  </si>
  <si>
    <t>4*1</t>
  </si>
  <si>
    <t>دورين</t>
  </si>
  <si>
    <t>ارفيل</t>
  </si>
  <si>
    <t>ثلاثه ادوار</t>
  </si>
  <si>
    <t>الاسم</t>
  </si>
  <si>
    <t>المقاس</t>
  </si>
  <si>
    <t>دهبي</t>
  </si>
  <si>
    <t>فورجينا</t>
  </si>
  <si>
    <t>كورين</t>
  </si>
  <si>
    <t>mohannad</t>
  </si>
  <si>
    <t>EL-Maadi</t>
  </si>
  <si>
    <t>Mohamed Ayman</t>
  </si>
  <si>
    <t>Madinet Badr</t>
  </si>
  <si>
    <t>2 ميكانزم</t>
  </si>
  <si>
    <t>بمكتبة</t>
  </si>
  <si>
    <t>رف سحاب</t>
  </si>
  <si>
    <t>الحالة</t>
  </si>
  <si>
    <t>فشل التسليم</t>
  </si>
  <si>
    <t>اسامه</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</si>
  <si>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</si>
  <si>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</si>
  <si>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</si>
  <si>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</si>
  <si>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</si>
  <si>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</si>
  <si>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</si>
  <si>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كنبه</t>
  </si>
  <si>
    <t>4×1</t>
  </si>
  <si>
    <t>مرتجع</t>
  </si>
  <si>
    <t>الحج محمد السويس</t>
  </si>
  <si>
    <t xml:space="preserve">السويس </t>
  </si>
  <si>
    <t>السويس</t>
  </si>
  <si>
    <t>فانتاستك</t>
  </si>
  <si>
    <t>ملون</t>
  </si>
  <si>
    <t>فنيسيا</t>
  </si>
  <si>
    <t>شيزلونج</t>
  </si>
  <si>
    <t xml:space="preserve">نبيتى </t>
  </si>
  <si>
    <t>عمرو الأسود</t>
  </si>
  <si>
    <t>الزمالك</t>
  </si>
  <si>
    <t>لغي</t>
  </si>
  <si>
    <t>مخزن شيك هومز</t>
  </si>
  <si>
    <t xml:space="preserve">تم التسليم بمعرفه الحج سيد </t>
  </si>
  <si>
    <t xml:space="preserve">أكتوبر </t>
  </si>
  <si>
    <t>التجمع</t>
  </si>
  <si>
    <t>keira</t>
  </si>
  <si>
    <t xml:space="preserve">نوفال </t>
  </si>
  <si>
    <t>١٤٠/١٠٠</t>
  </si>
  <si>
    <t>بينك</t>
  </si>
  <si>
    <t>tarek</t>
  </si>
  <si>
    <t>reem</t>
  </si>
  <si>
    <t>البطاش اسكندريه</t>
  </si>
  <si>
    <t>١٠٠/١٤٠</t>
  </si>
  <si>
    <t>هشام سامى</t>
  </si>
  <si>
    <t>41 كومبوند جولدن جستس الدور 4 شقه 4</t>
  </si>
  <si>
    <t>بلحه</t>
  </si>
  <si>
    <t>فانتستيك</t>
  </si>
  <si>
    <t>الوان</t>
  </si>
  <si>
    <t>المعرض مدينه نصر</t>
  </si>
  <si>
    <t>فاطمه محمد</t>
  </si>
  <si>
    <t>أكتوبر الجيزه</t>
  </si>
  <si>
    <t>الشيخ زايد اكتوبر</t>
  </si>
  <si>
    <t>بولا هومزمارت</t>
  </si>
  <si>
    <t xml:space="preserve">محمد شكرى </t>
  </si>
  <si>
    <t>ارينا</t>
  </si>
  <si>
    <t>منزلى</t>
  </si>
  <si>
    <t>مدينتى</t>
  </si>
  <si>
    <t>حماده</t>
  </si>
  <si>
    <t>صفاء عبد الباقي</t>
  </si>
  <si>
    <t xml:space="preserve">كينج </t>
  </si>
  <si>
    <t>المخزن</t>
  </si>
  <si>
    <t xml:space="preserve">دورين </t>
  </si>
  <si>
    <t xml:space="preserve">رندا العامرى </t>
  </si>
  <si>
    <t xml:space="preserve">كيمت </t>
  </si>
  <si>
    <t xml:space="preserve">كيفنج </t>
  </si>
  <si>
    <t>٦ اكتوبر الجيزه</t>
  </si>
  <si>
    <t xml:space="preserve">فردى </t>
  </si>
  <si>
    <t>امريكى</t>
  </si>
  <si>
    <t>محمد حمدى</t>
  </si>
  <si>
    <t xml:space="preserve">كوين </t>
  </si>
  <si>
    <t xml:space="preserve">بافلى هانى </t>
  </si>
  <si>
    <t xml:space="preserve">شبرا </t>
  </si>
  <si>
    <t xml:space="preserve">اسبانى </t>
  </si>
  <si>
    <t>t1</t>
  </si>
  <si>
    <t>رنا ميلاد</t>
  </si>
  <si>
    <t xml:space="preserve">جليم الإسكندرية </t>
  </si>
  <si>
    <t>ترابيزه</t>
  </si>
  <si>
    <t>مكتبه</t>
  </si>
  <si>
    <t>محمد ناجى</t>
  </si>
  <si>
    <t xml:space="preserve">دوران </t>
  </si>
  <si>
    <t>ميكانزم</t>
  </si>
  <si>
    <t>احمد عبد الستار</t>
  </si>
  <si>
    <t>المندره اسكندريه</t>
  </si>
  <si>
    <t xml:space="preserve">نور </t>
  </si>
  <si>
    <t>نور</t>
  </si>
  <si>
    <t>تامر</t>
  </si>
  <si>
    <t>٢ ميكانزم</t>
  </si>
  <si>
    <t>هناء اسامه</t>
  </si>
  <si>
    <t>القطاميه</t>
  </si>
  <si>
    <t xml:space="preserve">محمد عادل </t>
  </si>
  <si>
    <t>مريم عنان</t>
  </si>
  <si>
    <t xml:space="preserve">اب تاون كايرو التجمع </t>
  </si>
  <si>
    <t xml:space="preserve">هبه عطيه </t>
  </si>
  <si>
    <t>دوران</t>
  </si>
  <si>
    <t>حمدى ذكرى</t>
  </si>
  <si>
    <t>العميل رفض الاستلام</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</si>
  <si>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</si>
  <si>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</si>
  <si>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</si>
  <si>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</si>
  <si>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</si>
  <si>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</si>
  <si>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</si>
  <si>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</si>
  <si>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</si>
  <si>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</si>
  <si>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</si>
  <si>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</si>
  <si>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</si>
  <si>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الصنف</t>
  </si>
  <si>
    <t xml:space="preserve"> نوع الصنف</t>
  </si>
  <si>
    <t>نوع العميل</t>
  </si>
  <si>
    <t>خالد عبد القوى</t>
  </si>
  <si>
    <t>افراد</t>
  </si>
  <si>
    <t>زينا</t>
  </si>
  <si>
    <t>شركة</t>
  </si>
  <si>
    <t>احمد</t>
  </si>
  <si>
    <t>على رشوان</t>
  </si>
  <si>
    <t>احمد فخرى</t>
  </si>
  <si>
    <t>لينا</t>
  </si>
  <si>
    <t>فيصل نعيم</t>
  </si>
  <si>
    <t>حاتم العيسوي</t>
  </si>
  <si>
    <t>رنا</t>
  </si>
  <si>
    <t>اسراء ابو العنين</t>
  </si>
  <si>
    <t>حسن مغرب</t>
  </si>
  <si>
    <t>على السيد</t>
  </si>
  <si>
    <t>هشام بسيونى</t>
  </si>
  <si>
    <t>ساره وجيه</t>
  </si>
  <si>
    <t>مها</t>
  </si>
  <si>
    <t>بسام الشربينى</t>
  </si>
  <si>
    <t>هبه عبد الفتاح</t>
  </si>
  <si>
    <t>اسراء ابراهيم</t>
  </si>
  <si>
    <t>طارق كمال</t>
  </si>
  <si>
    <t>ديفد بهجت</t>
  </si>
  <si>
    <t>اياد</t>
  </si>
  <si>
    <t>عبد الله سيد</t>
  </si>
  <si>
    <t>كينج سونا</t>
  </si>
  <si>
    <t>احمد خالد</t>
  </si>
  <si>
    <t>احمد ايمن</t>
  </si>
  <si>
    <t>مصطفي غنيم</t>
  </si>
  <si>
    <t>رامى</t>
  </si>
  <si>
    <t>فؤاد المنسي</t>
  </si>
  <si>
    <t>محمد شكرى</t>
  </si>
  <si>
    <t>رندا العامرى</t>
  </si>
  <si>
    <t>بافلى هانى</t>
  </si>
  <si>
    <t>محمد عادل</t>
  </si>
  <si>
    <t>هبه عطيه</t>
  </si>
  <si>
    <t xml:space="preserve">نوع العميل </t>
  </si>
  <si>
    <t>طريقة الدفع2</t>
  </si>
  <si>
    <t>غير معروف</t>
  </si>
  <si>
    <t>مدة التسليم (المفترضة)</t>
  </si>
  <si>
    <t>مدة التسليم (الفعلية)</t>
  </si>
  <si>
    <t>Row Labels</t>
  </si>
  <si>
    <t xml:space="preserve">Sum of سعر البيع </t>
  </si>
  <si>
    <t>كاش</t>
  </si>
  <si>
    <t>Grand Total</t>
  </si>
  <si>
    <t>(blank)</t>
  </si>
  <si>
    <t>Column Labels</t>
  </si>
  <si>
    <t>كفاءة التسليم</t>
  </si>
  <si>
    <t>غير موجود</t>
  </si>
  <si>
    <t>Count of كفاءة التسليم</t>
  </si>
  <si>
    <t>تأخير</t>
  </si>
  <si>
    <t>قبل الموعد</t>
  </si>
  <si>
    <t>لون الصنف</t>
  </si>
  <si>
    <t>الكمية</t>
  </si>
  <si>
    <t>أبيض</t>
  </si>
  <si>
    <t>غير متوفر</t>
  </si>
  <si>
    <t>أسود</t>
  </si>
  <si>
    <t>أزرق</t>
  </si>
  <si>
    <t>غير محدد</t>
  </si>
  <si>
    <t>رمادي</t>
  </si>
  <si>
    <t>ركنه</t>
  </si>
  <si>
    <t>فوتيه</t>
  </si>
  <si>
    <t>بنفسجي</t>
  </si>
  <si>
    <t>اللون الصنف</t>
  </si>
  <si>
    <t>سرير كيفينج دورين مقاس 80 لون ابيض</t>
  </si>
  <si>
    <t>المحافظة</t>
  </si>
  <si>
    <t>الجيزة</t>
  </si>
  <si>
    <t>الإسكندرية</t>
  </si>
  <si>
    <t>مطروح</t>
  </si>
  <si>
    <t>البحر الأحمر</t>
  </si>
  <si>
    <t>القاهرة</t>
  </si>
  <si>
    <t>القليوبية</t>
  </si>
  <si>
    <t>أسيوط</t>
  </si>
  <si>
    <t>نوع الافراد</t>
  </si>
  <si>
    <t>انواع الافراد</t>
  </si>
  <si>
    <t>ذكر</t>
  </si>
  <si>
    <t>أنثى</t>
  </si>
  <si>
    <t xml:space="preserve">العملاء اللي بيتعامل معانا </t>
  </si>
  <si>
    <t xml:space="preserve">Count of نوع العميل </t>
  </si>
  <si>
    <t>Count of نوع الافراد</t>
  </si>
  <si>
    <t xml:space="preserve">                 نوع الافراد          </t>
  </si>
  <si>
    <t>Count of المحافظة</t>
  </si>
  <si>
    <t xml:space="preserve">             المحافظة</t>
  </si>
  <si>
    <t>اكتر منصة بنبيع عليها</t>
  </si>
  <si>
    <t>اكتر صناف بيتباع</t>
  </si>
  <si>
    <t>طريقة الدفع اللي بتم عن طريق المنصات</t>
  </si>
  <si>
    <t xml:space="preserve">Count of منصة البيع </t>
  </si>
  <si>
    <t>Total Sales</t>
  </si>
  <si>
    <t>افضل مسئول عن التوصيل</t>
  </si>
  <si>
    <t>Count of الحالة</t>
  </si>
  <si>
    <t>حالة التسليم</t>
  </si>
  <si>
    <t>Average of مدة التسليم (الفعلية)</t>
  </si>
  <si>
    <t>&lt;7/27/2024</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</si>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</sst>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3" x14ac:knownFonts="1">
    <font>
      <sz val="11"/>
      <color theme="1"/>
      <name val="Calibri"/>
      <family val="2"/>
      <scheme val="minor"/>
    </font>
    <font>
      <b/>
      <sz val="12"/>
      <color theme="1"/>
      <name val="Calibri"/>
      <family val="2"/>
      <scheme val="minor"/>
    </font>
    <font>
      <b/>
      <sz val="11"/>
      <color theme="1"/>
      <name val="Calibri"/>
      <family val="2"/>
      <scheme val="minor"/>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20"/>
      <color theme="1"/>
      <name val="Calibri"/>
      <family val="2"/>
      <scheme val="minor"/>
    </font>
    <font>
      <b/>
      <sz val="20"/>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2" fillId="0" borderId="0" applyFont="0" applyFill="0" applyBorder="0" applyAlignment="0" applyProtection="0"/>
  </cellStyleXfs>
  <cellXfs count="40">
    <xf numFmtId="0" fontId="0" fillId="0" borderId="0" xfId="0"/>
    <xf numFmtId="0" fontId="0" fillId="0" borderId="0" xfId="0" applyAlignment="1">
      <alignment horizontal="right" vertical="center"/>
    </xf>
    <xf numFmtId="0" fontId="0" fillId="0" borderId="1" xfId="0" applyBorder="1" applyAlignment="1">
      <alignment horizontal="right" vertical="center"/>
    </xf>
    <xf numFmtId="2" fontId="0" fillId="0" borderId="1" xfId="0" applyNumberFormat="1" applyBorder="1" applyAlignment="1">
      <alignment horizontal="right" vertical="center"/>
    </xf>
    <xf numFmtId="2" fontId="0" fillId="0" borderId="0" xfId="0" applyNumberFormat="1" applyAlignment="1">
      <alignment horizontal="right" vertical="center"/>
    </xf>
    <xf numFmtId="14" fontId="0" fillId="0" borderId="1" xfId="0" applyNumberFormat="1" applyBorder="1" applyAlignment="1">
      <alignment horizontal="right" vertical="center"/>
    </xf>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horizontal="right" indent="2"/>
    </xf>
    <xf numFmtId="0" fontId="0" fillId="0" borderId="0" xfId="0" applyAlignment="1">
      <alignment horizontal="right"/>
    </xf>
    <xf numFmtId="0" fontId="0" fillId="0" borderId="0" xfId="0" applyNumberFormat="1"/>
    <xf numFmtId="14" fontId="0" fillId="0" borderId="0" xfId="0" applyNumberFormat="1"/>
    <xf numFmtId="14" fontId="0" fillId="0" borderId="0" xfId="0" applyNumberFormat="1" applyAlignment="1">
      <alignment horizontal="right" vertical="center"/>
    </xf>
    <xf numFmtId="1" fontId="0" fillId="0" borderId="0" xfId="0" applyNumberFormat="1"/>
    <xf numFmtId="1" fontId="0" fillId="0" borderId="1" xfId="0" applyNumberFormat="1" applyBorder="1" applyAlignment="1">
      <alignment horizontal="right" vertical="center"/>
    </xf>
    <xf numFmtId="1" fontId="0" fillId="0" borderId="0" xfId="0" applyNumberFormat="1" applyAlignment="1">
      <alignment horizontal="right" vertical="center"/>
    </xf>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0" fillId="2" borderId="0" xfId="0" applyFill="1"/>
    <xf numFmtId="164" fontId="0" fillId="0" borderId="0" xfId="0" applyNumberFormat="1"/>
    <xf numFmtId="0" fontId="0" fillId="0" borderId="0" xfId="0" applyAlignment="1">
      <alignment horizontal="left" indent="1"/>
    </xf>
    <xf numFmtId="0" fontId="0" fillId="2" borderId="0" xfId="0" applyFill="1" applyAlignment="1"/>
    <xf numFmtId="0" fontId="10" fillId="2" borderId="0" xfId="0" applyFont="1" applyFill="1" applyAlignment="1">
      <alignment vertical="center"/>
    </xf>
    <xf numFmtId="0" fontId="11" fillId="2" borderId="0" xfId="0" applyFont="1" applyFill="1" applyAlignment="1">
      <alignment horizontal="center" vertical="center"/>
    </xf>
    <xf numFmtId="0" fontId="11" fillId="2" borderId="0" xfId="0" applyFont="1" applyFill="1" applyAlignment="1">
      <alignment horizontal="center"/>
    </xf>
    <xf numFmtId="0" fontId="10" fillId="2" borderId="0" xfId="0" applyFont="1" applyFill="1" applyAlignment="1">
      <alignment horizontal="center"/>
    </xf>
    <xf numFmtId="0" fontId="0" fillId="2" borderId="0" xfId="0" applyFill="1" applyAlignment="1">
      <alignment horizontal="center"/>
    </xf>
    <xf numFmtId="0" fontId="10" fillId="2" borderId="0" xfId="0" applyFont="1" applyFill="1" applyAlignment="1">
      <alignment horizontal="center" vertical="center"/>
    </xf>
    <xf numFmtId="164" fontId="0" fillId="0" borderId="0" xfId="1" applyNumberFormat="1" applyFont="1"/>
    <xf numFmtId="164" fontId="0" fillId="2" borderId="0" xfId="1" applyNumberFormat="1" applyFont="1" applyFill="1"/>
    <xf numFmtId="0" fontId="0" fillId="3" borderId="0" xfId="0" applyFill="1"/>
  </cellXfs>
  <cellStyles count="2">
    <cellStyle name="Comma" xfId="1" builtinId="3"/>
    <cellStyle name="Normal" xfId="0" builtinId="0"/>
  </cellStyles>
  <dxfs count="89">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color theme="0"/>
      </font>
      <fill>
        <patternFill>
          <bgColor theme="4"/>
        </patternFill>
      </fill>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9" formatCode="m/d/yyyy"/>
    </dxf>
    <dxf>
      <numFmt numFmtId="19" formatCode="m/d/yyyy"/>
    </dxf>
    <dxf>
      <numFmt numFmtId="19" formatCode="m/d/yyyy"/>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Invisible" pivot="0" table="0" count="0" xr9:uid="{AA73528B-8D85-432A-9172-AA70B5E8C669}"/>
    <tableStyle name="Slicer Style 1" pivot="0" table="0" count="1" xr9:uid="{D4CB8223-6328-40F5-9819-454D48BB20DC}">
      <tableStyleElement type="wholeTable" dxfId="69"/>
    </tableStyle>
  </tableStyles>
  <colors>
    <mruColors>
      <color rgb="FF1C2C4C"/>
      <color rgb="FF001D5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Advance2.xlsx]Sheet5!PivotTable4</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2C4C"/>
          </a:solidFill>
          <a:ln w="19050">
            <a:solidFill>
              <a:schemeClr val="lt1"/>
            </a:solidFill>
          </a:ln>
          <a:effectLst/>
        </c:spPr>
        <c:dLbl>
          <c:idx val="0"/>
          <c:layout>
            <c:manualLayout>
              <c:x val="-0.30367734282325032"/>
              <c:y val="-0.1635010449502646"/>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F7FF06C6-D481-49E3-BD01-4F339B98D747}" type="VALUE">
                  <a:rPr lang="en-US" sz="1400">
                    <a:solidFill>
                      <a:schemeClr val="bg1"/>
                    </a:solidFill>
                  </a:rPr>
                  <a:pPr>
                    <a:defRPr sz="1400"/>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724792408066431"/>
                  <c:h val="0.10210208278790613"/>
                </c:manualLayout>
              </c15:layout>
              <c15:dlblFieldTable/>
              <c15:showDataLabelsRange val="0"/>
            </c:ext>
          </c:extLst>
        </c:dLbl>
      </c:pivotFmt>
      <c:pivotFmt>
        <c:idx val="2"/>
        <c:spPr>
          <a:solidFill>
            <a:schemeClr val="accent1">
              <a:lumMod val="75000"/>
            </a:schemeClr>
          </a:solidFill>
          <a:ln w="19050">
            <a:solidFill>
              <a:schemeClr val="lt1"/>
            </a:solidFill>
          </a:ln>
          <a:effectLst/>
        </c:spPr>
        <c:dLbl>
          <c:idx val="0"/>
          <c:layout>
            <c:manualLayout>
              <c:x val="0.10438908659549229"/>
              <c:y val="0.1503640679361437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893238434163699"/>
                  <c:h val="9.3693675970078549E-2"/>
                </c:manualLayout>
              </c15:layout>
            </c:ext>
          </c:extLst>
        </c:dLbl>
      </c:pivotFmt>
    </c:pivotFmts>
    <c:plotArea>
      <c:layout/>
      <c:pieChart>
        <c:varyColors val="1"/>
        <c:ser>
          <c:idx val="0"/>
          <c:order val="0"/>
          <c:tx>
            <c:strRef>
              <c:f>Sheet5!$B$5</c:f>
              <c:strCache>
                <c:ptCount val="1"/>
                <c:pt idx="0">
                  <c:v>Total</c:v>
                </c:pt>
              </c:strCache>
            </c:strRef>
          </c:tx>
          <c:dPt>
            <c:idx val="0"/>
            <c:bubble3D val="0"/>
            <c:spPr>
              <a:solidFill>
                <a:srgbClr val="1C2C4C"/>
              </a:solidFill>
              <a:ln w="19050">
                <a:solidFill>
                  <a:schemeClr val="lt1"/>
                </a:solidFill>
              </a:ln>
              <a:effectLst/>
            </c:spPr>
            <c:extLst>
              <c:ext xmlns:c16="http://schemas.microsoft.com/office/drawing/2014/chart" uri="{C3380CC4-5D6E-409C-BE32-E72D297353CC}">
                <c16:uniqueId val="{00000002-F17E-4023-B1C3-64CF205537CE}"/>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F17E-4023-B1C3-64CF205537CE}"/>
              </c:ext>
            </c:extLst>
          </c:dPt>
          <c:dLbls>
            <c:dLbl>
              <c:idx val="0"/>
              <c:layout>
                <c:manualLayout>
                  <c:x val="-0.30367734282325032"/>
                  <c:y val="-0.1635010449502646"/>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F7FF06C6-D481-49E3-BD01-4F339B98D747}" type="VALUE">
                      <a:rPr lang="en-US" sz="1400">
                        <a:solidFill>
                          <a:schemeClr val="bg1"/>
                        </a:solidFill>
                      </a:rPr>
                      <a:pPr>
                        <a:defRPr sz="1400"/>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724792408066431"/>
                      <c:h val="0.10210208278790613"/>
                    </c:manualLayout>
                  </c15:layout>
                  <c15:dlblFieldTable/>
                  <c15:showDataLabelsRange val="0"/>
                </c:ext>
                <c:ext xmlns:c16="http://schemas.microsoft.com/office/drawing/2014/chart" uri="{C3380CC4-5D6E-409C-BE32-E72D297353CC}">
                  <c16:uniqueId val="{00000002-F17E-4023-B1C3-64CF205537CE}"/>
                </c:ext>
              </c:extLst>
            </c:dLbl>
            <c:dLbl>
              <c:idx val="1"/>
              <c:layout>
                <c:manualLayout>
                  <c:x val="0.10438908659549229"/>
                  <c:y val="0.1503640679361437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893238434163699"/>
                      <c:h val="9.3693675970078549E-2"/>
                    </c:manualLayout>
                  </c15:layout>
                </c:ext>
                <c:ext xmlns:c16="http://schemas.microsoft.com/office/drawing/2014/chart" uri="{C3380CC4-5D6E-409C-BE32-E72D297353CC}">
                  <c16:uniqueId val="{00000003-F17E-4023-B1C3-64CF205537C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Sheet5!$A$6:$A$8</c:f>
              <c:strCache>
                <c:ptCount val="2"/>
                <c:pt idx="0">
                  <c:v>افراد</c:v>
                </c:pt>
                <c:pt idx="1">
                  <c:v>شركة</c:v>
                </c:pt>
              </c:strCache>
            </c:strRef>
          </c:cat>
          <c:val>
            <c:numRef>
              <c:f>Sheet5!$B$6:$B$8</c:f>
              <c:numCache>
                <c:formatCode>0.00%</c:formatCode>
                <c:ptCount val="2"/>
                <c:pt idx="0">
                  <c:v>0.72222222222222221</c:v>
                </c:pt>
                <c:pt idx="1">
                  <c:v>0.27777777777777779</c:v>
                </c:pt>
              </c:numCache>
            </c:numRef>
          </c:val>
          <c:extLst>
            <c:ext xmlns:c16="http://schemas.microsoft.com/office/drawing/2014/chart" uri="{C3380CC4-5D6E-409C-BE32-E72D297353CC}">
              <c16:uniqueId val="{00000000-F17E-4023-B1C3-64CF205537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860462726856647"/>
          <c:y val="0.41891836676013966"/>
          <c:w val="0.22292562184175377"/>
          <c:h val="0.162163266479720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2C4C"/>
          </a:solidFill>
          <a:ln w="19050">
            <a:solidFill>
              <a:schemeClr val="lt1"/>
            </a:solidFill>
          </a:ln>
          <a:effectLst/>
        </c:spPr>
        <c:dLbl>
          <c:idx val="0"/>
          <c:layout>
            <c:manualLayout>
              <c:x val="-0.26732004740854076"/>
              <c:y val="3.534254846798634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105909939143424"/>
                  <c:h val="0.21261257239363981"/>
                </c:manualLayout>
              </c15:layout>
            </c:ext>
          </c:extLst>
        </c:dLbl>
      </c:pivotFmt>
      <c:pivotFmt>
        <c:idx val="2"/>
        <c:spPr>
          <a:solidFill>
            <a:schemeClr val="accent1">
              <a:lumMod val="75000"/>
            </a:schemeClr>
          </a:solidFill>
          <a:ln w="19050">
            <a:solidFill>
              <a:schemeClr val="lt1"/>
            </a:solidFill>
          </a:ln>
          <a:effectLst/>
        </c:spPr>
        <c:dLbl>
          <c:idx val="0"/>
          <c:layout>
            <c:manualLayout>
              <c:x val="0.16089108827062509"/>
              <c:y val="-0.21568537690092418"/>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619379771189492"/>
                  <c:h val="0.17864260884961644"/>
                </c:manualLayout>
              </c15:layout>
            </c:ext>
          </c:extLst>
        </c:dLbl>
      </c:pivotFmt>
      <c:pivotFmt>
        <c:idx val="3"/>
        <c:spPr>
          <a:solidFill>
            <a:schemeClr val="accent1"/>
          </a:solidFill>
          <a:ln w="19050">
            <a:solidFill>
              <a:schemeClr val="lt1"/>
            </a:solidFill>
          </a:ln>
          <a:effectLst/>
        </c:spPr>
        <c:dLbl>
          <c:idx val="0"/>
          <c:layout>
            <c:manualLayout>
              <c:x val="0.15200513148933417"/>
              <c:y val="0.1714119464828078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75417726090932"/>
          <c:y val="0.10829460484838763"/>
          <c:w val="0.68280980814268477"/>
          <c:h val="0.72094833965650573"/>
        </c:manualLayout>
      </c:layout>
      <c:pieChart>
        <c:varyColors val="1"/>
        <c:ser>
          <c:idx val="0"/>
          <c:order val="0"/>
          <c:tx>
            <c:strRef>
              <c:f>Sheet5!$G$5</c:f>
              <c:strCache>
                <c:ptCount val="1"/>
                <c:pt idx="0">
                  <c:v>Total</c:v>
                </c:pt>
              </c:strCache>
            </c:strRef>
          </c:tx>
          <c:dPt>
            <c:idx val="0"/>
            <c:bubble3D val="0"/>
            <c:spPr>
              <a:solidFill>
                <a:srgbClr val="1C2C4C"/>
              </a:solidFill>
              <a:ln w="19050">
                <a:solidFill>
                  <a:schemeClr val="lt1"/>
                </a:solidFill>
              </a:ln>
              <a:effectLst/>
            </c:spPr>
            <c:extLst>
              <c:ext xmlns:c16="http://schemas.microsoft.com/office/drawing/2014/chart" uri="{C3380CC4-5D6E-409C-BE32-E72D297353CC}">
                <c16:uniqueId val="{00000002-F13E-46F2-87B4-97FD0B4837BA}"/>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F13E-46F2-87B4-97FD0B4837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F13E-46F2-87B4-97FD0B4837BA}"/>
              </c:ext>
            </c:extLst>
          </c:dPt>
          <c:dLbls>
            <c:dLbl>
              <c:idx val="0"/>
              <c:layout>
                <c:manualLayout>
                  <c:x val="-0.26732004740854076"/>
                  <c:y val="3.534254846798634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105909939143424"/>
                      <c:h val="0.21261257239363981"/>
                    </c:manualLayout>
                  </c15:layout>
                </c:ext>
                <c:ext xmlns:c16="http://schemas.microsoft.com/office/drawing/2014/chart" uri="{C3380CC4-5D6E-409C-BE32-E72D297353CC}">
                  <c16:uniqueId val="{00000002-F13E-46F2-87B4-97FD0B4837BA}"/>
                </c:ext>
              </c:extLst>
            </c:dLbl>
            <c:dLbl>
              <c:idx val="1"/>
              <c:layout>
                <c:manualLayout>
                  <c:x val="0.16089108827062509"/>
                  <c:y val="-0.21568537690092418"/>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619379771189492"/>
                      <c:h val="0.17864260884961644"/>
                    </c:manualLayout>
                  </c15:layout>
                </c:ext>
                <c:ext xmlns:c16="http://schemas.microsoft.com/office/drawing/2014/chart" uri="{C3380CC4-5D6E-409C-BE32-E72D297353CC}">
                  <c16:uniqueId val="{00000003-F13E-46F2-87B4-97FD0B4837BA}"/>
                </c:ext>
              </c:extLst>
            </c:dLbl>
            <c:dLbl>
              <c:idx val="2"/>
              <c:layout>
                <c:manualLayout>
                  <c:x val="0.15200513148933417"/>
                  <c:y val="0.1714119464828078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13E-46F2-87B4-97FD0B4837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Sheet5!$F$6:$F$9</c:f>
              <c:strCache>
                <c:ptCount val="3"/>
                <c:pt idx="0">
                  <c:v>ذكر</c:v>
                </c:pt>
                <c:pt idx="1">
                  <c:v>شركة</c:v>
                </c:pt>
                <c:pt idx="2">
                  <c:v>أنثى</c:v>
                </c:pt>
              </c:strCache>
            </c:strRef>
          </c:cat>
          <c:val>
            <c:numRef>
              <c:f>Sheet5!$G$6:$G$9</c:f>
              <c:numCache>
                <c:formatCode>0.00%</c:formatCode>
                <c:ptCount val="3"/>
                <c:pt idx="0">
                  <c:v>0.47619047619047616</c:v>
                </c:pt>
                <c:pt idx="1">
                  <c:v>0.30952380952380953</c:v>
                </c:pt>
                <c:pt idx="2">
                  <c:v>0.21428571428571427</c:v>
                </c:pt>
              </c:numCache>
            </c:numRef>
          </c:val>
          <c:extLst>
            <c:ext xmlns:c16="http://schemas.microsoft.com/office/drawing/2014/chart" uri="{C3380CC4-5D6E-409C-BE32-E72D297353CC}">
              <c16:uniqueId val="{00000000-F13E-46F2-87B4-97FD0B4837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3894006999125104"/>
          <c:y val="0.38281167979002623"/>
          <c:w val="0.14439326334208225"/>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2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214859545653E-3"/>
          <c:y val="5.0925925925925923E-2"/>
          <c:w val="0.97992831994393481"/>
          <c:h val="0.73731153397491977"/>
        </c:manualLayout>
      </c:layout>
      <c:barChart>
        <c:barDir val="col"/>
        <c:grouping val="clustered"/>
        <c:varyColors val="0"/>
        <c:ser>
          <c:idx val="0"/>
          <c:order val="0"/>
          <c:tx>
            <c:strRef>
              <c:f>Sheet5!$L$5</c:f>
              <c:strCache>
                <c:ptCount val="1"/>
                <c:pt idx="0">
                  <c:v>Count of المحافظة</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Sheet5!$K$6:$K$16</c:f>
              <c:strCache>
                <c:ptCount val="10"/>
                <c:pt idx="0">
                  <c:v>القاهرة</c:v>
                </c:pt>
                <c:pt idx="1">
                  <c:v>الجيزة</c:v>
                </c:pt>
                <c:pt idx="2">
                  <c:v>غير معروف</c:v>
                </c:pt>
                <c:pt idx="3">
                  <c:v>(blank)</c:v>
                </c:pt>
                <c:pt idx="4">
                  <c:v>القليوبية</c:v>
                </c:pt>
                <c:pt idx="5">
                  <c:v>السويس</c:v>
                </c:pt>
                <c:pt idx="6">
                  <c:v>الإسكندرية</c:v>
                </c:pt>
                <c:pt idx="7">
                  <c:v>البحر الأحمر</c:v>
                </c:pt>
                <c:pt idx="8">
                  <c:v>مطروح</c:v>
                </c:pt>
                <c:pt idx="9">
                  <c:v>أسيوط</c:v>
                </c:pt>
              </c:strCache>
            </c:strRef>
          </c:cat>
          <c:val>
            <c:numRef>
              <c:f>Sheet5!$L$6:$L$16</c:f>
              <c:numCache>
                <c:formatCode>General</c:formatCode>
                <c:ptCount val="10"/>
                <c:pt idx="0">
                  <c:v>50</c:v>
                </c:pt>
                <c:pt idx="1">
                  <c:v>23</c:v>
                </c:pt>
                <c:pt idx="2">
                  <c:v>15</c:v>
                </c:pt>
                <c:pt idx="4">
                  <c:v>11</c:v>
                </c:pt>
                <c:pt idx="5">
                  <c:v>8</c:v>
                </c:pt>
                <c:pt idx="6">
                  <c:v>5</c:v>
                </c:pt>
                <c:pt idx="7">
                  <c:v>3</c:v>
                </c:pt>
                <c:pt idx="8">
                  <c:v>2</c:v>
                </c:pt>
                <c:pt idx="9">
                  <c:v>1</c:v>
                </c:pt>
              </c:numCache>
            </c:numRef>
          </c:val>
          <c:extLst>
            <c:ext xmlns:c16="http://schemas.microsoft.com/office/drawing/2014/chart" uri="{C3380CC4-5D6E-409C-BE32-E72D297353CC}">
              <c16:uniqueId val="{00000000-5B79-4BC1-9637-157CF4A832EB}"/>
            </c:ext>
          </c:extLst>
        </c:ser>
        <c:ser>
          <c:idx val="1"/>
          <c:order val="1"/>
          <c:tx>
            <c:strRef>
              <c:f>Sheet5!$M$5</c:f>
              <c:strCache>
                <c:ptCount val="1"/>
                <c:pt idx="0">
                  <c:v>Sum of سعر البيع </c:v>
                </c:pt>
              </c:strCache>
            </c:strRef>
          </c:tx>
          <c:spPr>
            <a:solidFill>
              <a:srgbClr val="1C2C4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Sheet5!$K$6:$K$16</c:f>
              <c:strCache>
                <c:ptCount val="10"/>
                <c:pt idx="0">
                  <c:v>القاهرة</c:v>
                </c:pt>
                <c:pt idx="1">
                  <c:v>الجيزة</c:v>
                </c:pt>
                <c:pt idx="2">
                  <c:v>غير معروف</c:v>
                </c:pt>
                <c:pt idx="3">
                  <c:v>(blank)</c:v>
                </c:pt>
                <c:pt idx="4">
                  <c:v>القليوبية</c:v>
                </c:pt>
                <c:pt idx="5">
                  <c:v>السويس</c:v>
                </c:pt>
                <c:pt idx="6">
                  <c:v>الإسكندرية</c:v>
                </c:pt>
                <c:pt idx="7">
                  <c:v>البحر الأحمر</c:v>
                </c:pt>
                <c:pt idx="8">
                  <c:v>مطروح</c:v>
                </c:pt>
                <c:pt idx="9">
                  <c:v>أسيوط</c:v>
                </c:pt>
              </c:strCache>
            </c:strRef>
          </c:cat>
          <c:val>
            <c:numRef>
              <c:f>Sheet5!$M$6:$M$16</c:f>
              <c:numCache>
                <c:formatCode>_(* #,##0_);_(* \(#,##0\);_(* "-"??_);_(@_)</c:formatCode>
                <c:ptCount val="10"/>
                <c:pt idx="0">
                  <c:v>525555.90999999992</c:v>
                </c:pt>
                <c:pt idx="1">
                  <c:v>245908</c:v>
                </c:pt>
                <c:pt idx="2">
                  <c:v>161493</c:v>
                </c:pt>
                <c:pt idx="3">
                  <c:v>89718</c:v>
                </c:pt>
                <c:pt idx="4">
                  <c:v>63101</c:v>
                </c:pt>
                <c:pt idx="5">
                  <c:v>62520.905440000002</c:v>
                </c:pt>
                <c:pt idx="6">
                  <c:v>54762</c:v>
                </c:pt>
                <c:pt idx="7">
                  <c:v>41640</c:v>
                </c:pt>
                <c:pt idx="8">
                  <c:v>24288</c:v>
                </c:pt>
                <c:pt idx="9">
                  <c:v>12999</c:v>
                </c:pt>
              </c:numCache>
            </c:numRef>
          </c:val>
          <c:extLst>
            <c:ext xmlns:c16="http://schemas.microsoft.com/office/drawing/2014/chart" uri="{C3380CC4-5D6E-409C-BE32-E72D297353CC}">
              <c16:uniqueId val="{00000001-5B79-4BC1-9637-157CF4A832EB}"/>
            </c:ext>
          </c:extLst>
        </c:ser>
        <c:dLbls>
          <c:dLblPos val="outEnd"/>
          <c:showLegendKey val="0"/>
          <c:showVal val="1"/>
          <c:showCatName val="0"/>
          <c:showSerName val="0"/>
          <c:showPercent val="0"/>
          <c:showBubbleSize val="0"/>
        </c:dLbls>
        <c:gapWidth val="219"/>
        <c:overlap val="-27"/>
        <c:axId val="773982320"/>
        <c:axId val="773983568"/>
      </c:barChart>
      <c:catAx>
        <c:axId val="77398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73983568"/>
        <c:crosses val="autoZero"/>
        <c:auto val="1"/>
        <c:lblAlgn val="ctr"/>
        <c:lblOffset val="100"/>
        <c:noMultiLvlLbl val="0"/>
      </c:catAx>
      <c:valAx>
        <c:axId val="773983568"/>
        <c:scaling>
          <c:orientation val="minMax"/>
        </c:scaling>
        <c:delete val="1"/>
        <c:axPos val="l"/>
        <c:numFmt formatCode="General" sourceLinked="1"/>
        <c:majorTickMark val="none"/>
        <c:minorTickMark val="none"/>
        <c:tickLblPos val="nextTo"/>
        <c:crossAx val="77398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Advance2.xlsx]Sheet5!PivotTable9</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2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C2C4C"/>
          </a:solidFill>
          <a:ln>
            <a:noFill/>
          </a:ln>
          <a:effectLst/>
        </c:spPr>
      </c:pivotFmt>
      <c:pivotFmt>
        <c:idx val="3"/>
        <c:spPr>
          <a:solidFill>
            <a:srgbClr val="1C2C4C"/>
          </a:solidFill>
          <a:ln>
            <a:noFill/>
          </a:ln>
          <a:effectLst/>
        </c:spPr>
        <c:dLbl>
          <c:idx val="0"/>
          <c:layout>
            <c:manualLayout>
              <c:x val="5.2700911331545657E-3"/>
              <c:y val="-2.16362453107271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61262630841943"/>
                  <c:h val="0.10269124226120911"/>
                </c:manualLayout>
              </c15:layout>
            </c:ext>
          </c:extLst>
        </c:dLbl>
      </c:pivotFmt>
      <c:pivotFmt>
        <c:idx val="4"/>
        <c:spPr>
          <a:solidFill>
            <a:srgbClr val="1C2C4C"/>
          </a:solidFill>
          <a:ln>
            <a:noFill/>
          </a:ln>
          <a:effectLst/>
        </c:spPr>
        <c:dLbl>
          <c:idx val="0"/>
          <c:layout>
            <c:manualLayout>
              <c:x val="1.8445318966041319E-2"/>
              <c:y val="-5.9499674604499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C2C4C"/>
          </a:solidFill>
          <a:ln>
            <a:noFill/>
          </a:ln>
          <a:effectLst/>
        </c:spPr>
        <c:dLbl>
          <c:idx val="0"/>
          <c:layout>
            <c:manualLayout>
              <c:x val="2.635045566577138E-3"/>
              <c:y val="-2.704509368323845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5151499558785487E-2"/>
                  <c:h val="0.12432748757193623"/>
                </c:manualLayout>
              </c15:layout>
            </c:ext>
          </c:extLst>
        </c:dLbl>
      </c:pivotFmt>
      <c:pivotFmt>
        <c:idx val="6"/>
        <c:spPr>
          <a:solidFill>
            <a:srgbClr val="1C2C4C"/>
          </a:solidFill>
          <a:ln>
            <a:noFill/>
          </a:ln>
          <a:effectLst/>
        </c:spPr>
        <c:dLbl>
          <c:idx val="0"/>
          <c:layout>
            <c:manualLayout>
              <c:x val="2.635045566577331E-3"/>
              <c:y val="-8.6544981242908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74774774774775E-2"/>
          <c:y val="3.7037037037037035E-2"/>
          <c:w val="0.9504504504504504"/>
          <c:h val="0.84463764946048414"/>
        </c:manualLayout>
      </c:layout>
      <c:barChart>
        <c:barDir val="col"/>
        <c:grouping val="clustered"/>
        <c:varyColors val="0"/>
        <c:ser>
          <c:idx val="0"/>
          <c:order val="0"/>
          <c:tx>
            <c:strRef>
              <c:f>Sheet5!$R$5</c:f>
              <c:strCache>
                <c:ptCount val="1"/>
                <c:pt idx="0">
                  <c:v>Count of نوع الافراد</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Sheet5!$Q$6:$Q$14</c:f>
              <c:strCache>
                <c:ptCount val="8"/>
                <c:pt idx="0">
                  <c:v>هومزمارت</c:v>
                </c:pt>
                <c:pt idx="1">
                  <c:v>شيك هومز</c:v>
                </c:pt>
                <c:pt idx="2">
                  <c:v>تاكى</c:v>
                </c:pt>
                <c:pt idx="3">
                  <c:v>اوسكار ريتن </c:v>
                </c:pt>
                <c:pt idx="4">
                  <c:v>فيس بوك</c:v>
                </c:pt>
                <c:pt idx="5">
                  <c:v>السويس</c:v>
                </c:pt>
                <c:pt idx="6">
                  <c:v>منزلى</c:v>
                </c:pt>
                <c:pt idx="7">
                  <c:v>كيمت </c:v>
                </c:pt>
              </c:strCache>
            </c:strRef>
          </c:cat>
          <c:val>
            <c:numRef>
              <c:f>Sheet5!$R$6:$R$14</c:f>
              <c:numCache>
                <c:formatCode>General</c:formatCode>
                <c:ptCount val="8"/>
                <c:pt idx="0">
                  <c:v>78</c:v>
                </c:pt>
                <c:pt idx="1">
                  <c:v>16</c:v>
                </c:pt>
                <c:pt idx="2">
                  <c:v>9</c:v>
                </c:pt>
                <c:pt idx="3">
                  <c:v>13</c:v>
                </c:pt>
                <c:pt idx="4">
                  <c:v>3</c:v>
                </c:pt>
                <c:pt idx="5">
                  <c:v>4</c:v>
                </c:pt>
                <c:pt idx="6">
                  <c:v>2</c:v>
                </c:pt>
                <c:pt idx="7">
                  <c:v>1</c:v>
                </c:pt>
              </c:numCache>
            </c:numRef>
          </c:val>
          <c:extLst>
            <c:ext xmlns:c16="http://schemas.microsoft.com/office/drawing/2014/chart" uri="{C3380CC4-5D6E-409C-BE32-E72D297353CC}">
              <c16:uniqueId val="{00000000-47F6-46EF-8AD1-48DB01D9C87D}"/>
            </c:ext>
          </c:extLst>
        </c:ser>
        <c:ser>
          <c:idx val="1"/>
          <c:order val="1"/>
          <c:tx>
            <c:strRef>
              <c:f>Sheet5!$S$5</c:f>
              <c:strCache>
                <c:ptCount val="1"/>
                <c:pt idx="0">
                  <c:v>Sum of سعر البيع </c:v>
                </c:pt>
              </c:strCache>
            </c:strRef>
          </c:tx>
          <c:spPr>
            <a:solidFill>
              <a:srgbClr val="1C2C4C"/>
            </a:solidFill>
            <a:ln>
              <a:noFill/>
            </a:ln>
            <a:effectLst/>
          </c:spPr>
          <c:invertIfNegative val="0"/>
          <c:dPt>
            <c:idx val="4"/>
            <c:invertIfNegative val="0"/>
            <c:bubble3D val="0"/>
            <c:spPr>
              <a:solidFill>
                <a:srgbClr val="1C2C4C"/>
              </a:solidFill>
              <a:ln>
                <a:noFill/>
              </a:ln>
              <a:effectLst/>
            </c:spPr>
            <c:extLst>
              <c:ext xmlns:c16="http://schemas.microsoft.com/office/drawing/2014/chart" uri="{C3380CC4-5D6E-409C-BE32-E72D297353CC}">
                <c16:uniqueId val="{00000006-47F6-46EF-8AD1-48DB01D9C87D}"/>
              </c:ext>
            </c:extLst>
          </c:dPt>
          <c:dPt>
            <c:idx val="5"/>
            <c:invertIfNegative val="0"/>
            <c:bubble3D val="0"/>
            <c:spPr>
              <a:solidFill>
                <a:srgbClr val="1C2C4C"/>
              </a:solidFill>
              <a:ln>
                <a:noFill/>
              </a:ln>
              <a:effectLst/>
            </c:spPr>
            <c:extLst>
              <c:ext xmlns:c16="http://schemas.microsoft.com/office/drawing/2014/chart" uri="{C3380CC4-5D6E-409C-BE32-E72D297353CC}">
                <c16:uniqueId val="{00000007-47F6-46EF-8AD1-48DB01D9C87D}"/>
              </c:ext>
            </c:extLst>
          </c:dPt>
          <c:dPt>
            <c:idx val="6"/>
            <c:invertIfNegative val="0"/>
            <c:bubble3D val="0"/>
            <c:spPr>
              <a:solidFill>
                <a:srgbClr val="1C2C4C"/>
              </a:solidFill>
              <a:ln>
                <a:noFill/>
              </a:ln>
              <a:effectLst/>
            </c:spPr>
            <c:extLst>
              <c:ext xmlns:c16="http://schemas.microsoft.com/office/drawing/2014/chart" uri="{C3380CC4-5D6E-409C-BE32-E72D297353CC}">
                <c16:uniqueId val="{00000008-47F6-46EF-8AD1-48DB01D9C87D}"/>
              </c:ext>
            </c:extLst>
          </c:dPt>
          <c:dPt>
            <c:idx val="7"/>
            <c:invertIfNegative val="0"/>
            <c:bubble3D val="0"/>
            <c:spPr>
              <a:solidFill>
                <a:srgbClr val="1C2C4C"/>
              </a:solidFill>
              <a:ln>
                <a:noFill/>
              </a:ln>
              <a:effectLst/>
            </c:spPr>
            <c:extLst>
              <c:ext xmlns:c16="http://schemas.microsoft.com/office/drawing/2014/chart" uri="{C3380CC4-5D6E-409C-BE32-E72D297353CC}">
                <c16:uniqueId val="{00000009-47F6-46EF-8AD1-48DB01D9C87D}"/>
              </c:ext>
            </c:extLst>
          </c:dPt>
          <c:dLbls>
            <c:dLbl>
              <c:idx val="4"/>
              <c:layout>
                <c:manualLayout>
                  <c:x val="5.2700911331545657E-3"/>
                  <c:y val="-2.16362453107271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61262630841943"/>
                      <c:h val="0.10269124226120911"/>
                    </c:manualLayout>
                  </c15:layout>
                </c:ext>
                <c:ext xmlns:c16="http://schemas.microsoft.com/office/drawing/2014/chart" uri="{C3380CC4-5D6E-409C-BE32-E72D297353CC}">
                  <c16:uniqueId val="{00000006-47F6-46EF-8AD1-48DB01D9C87D}"/>
                </c:ext>
              </c:extLst>
            </c:dLbl>
            <c:dLbl>
              <c:idx val="5"/>
              <c:layout>
                <c:manualLayout>
                  <c:x val="1.8445318966041319E-2"/>
                  <c:y val="-5.94996746044996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7F6-46EF-8AD1-48DB01D9C87D}"/>
                </c:ext>
              </c:extLst>
            </c:dLbl>
            <c:dLbl>
              <c:idx val="6"/>
              <c:layout>
                <c:manualLayout>
                  <c:x val="2.635045566577138E-3"/>
                  <c:y val="-2.704509368323845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5151499558785487E-2"/>
                      <c:h val="0.12432748757193623"/>
                    </c:manualLayout>
                  </c15:layout>
                </c:ext>
                <c:ext xmlns:c16="http://schemas.microsoft.com/office/drawing/2014/chart" uri="{C3380CC4-5D6E-409C-BE32-E72D297353CC}">
                  <c16:uniqueId val="{00000008-47F6-46EF-8AD1-48DB01D9C87D}"/>
                </c:ext>
              </c:extLst>
            </c:dLbl>
            <c:dLbl>
              <c:idx val="7"/>
              <c:layout>
                <c:manualLayout>
                  <c:x val="2.635045566577331E-3"/>
                  <c:y val="-8.65449812429085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7F6-46EF-8AD1-48DB01D9C8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Sheet5!$Q$6:$Q$14</c:f>
              <c:strCache>
                <c:ptCount val="8"/>
                <c:pt idx="0">
                  <c:v>هومزمارت</c:v>
                </c:pt>
                <c:pt idx="1">
                  <c:v>شيك هومز</c:v>
                </c:pt>
                <c:pt idx="2">
                  <c:v>تاكى</c:v>
                </c:pt>
                <c:pt idx="3">
                  <c:v>اوسكار ريتن </c:v>
                </c:pt>
                <c:pt idx="4">
                  <c:v>فيس بوك</c:v>
                </c:pt>
                <c:pt idx="5">
                  <c:v>السويس</c:v>
                </c:pt>
                <c:pt idx="6">
                  <c:v>منزلى</c:v>
                </c:pt>
                <c:pt idx="7">
                  <c:v>كيمت </c:v>
                </c:pt>
              </c:strCache>
            </c:strRef>
          </c:cat>
          <c:val>
            <c:numRef>
              <c:f>Sheet5!$S$6:$S$14</c:f>
              <c:numCache>
                <c:formatCode>_(* #,##0_);_(* \(#,##0\);_(* "-"??_);_(@_)</c:formatCode>
                <c:ptCount val="8"/>
                <c:pt idx="0">
                  <c:v>868668</c:v>
                </c:pt>
                <c:pt idx="1">
                  <c:v>194340</c:v>
                </c:pt>
                <c:pt idx="2">
                  <c:v>82900</c:v>
                </c:pt>
                <c:pt idx="3">
                  <c:v>68731.91</c:v>
                </c:pt>
                <c:pt idx="4">
                  <c:v>27150</c:v>
                </c:pt>
                <c:pt idx="5">
                  <c:v>23144.905440000002</c:v>
                </c:pt>
                <c:pt idx="6">
                  <c:v>9655</c:v>
                </c:pt>
                <c:pt idx="7">
                  <c:v>7396</c:v>
                </c:pt>
              </c:numCache>
            </c:numRef>
          </c:val>
          <c:extLst>
            <c:ext xmlns:c16="http://schemas.microsoft.com/office/drawing/2014/chart" uri="{C3380CC4-5D6E-409C-BE32-E72D297353CC}">
              <c16:uniqueId val="{00000001-47F6-46EF-8AD1-48DB01D9C87D}"/>
            </c:ext>
          </c:extLst>
        </c:ser>
        <c:dLbls>
          <c:dLblPos val="outEnd"/>
          <c:showLegendKey val="0"/>
          <c:showVal val="1"/>
          <c:showCatName val="0"/>
          <c:showSerName val="0"/>
          <c:showPercent val="0"/>
          <c:showBubbleSize val="0"/>
        </c:dLbls>
        <c:gapWidth val="219"/>
        <c:overlap val="-27"/>
        <c:axId val="428930256"/>
        <c:axId val="428931088"/>
      </c:barChart>
      <c:catAx>
        <c:axId val="42893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931088"/>
        <c:crosses val="autoZero"/>
        <c:auto val="1"/>
        <c:lblAlgn val="ctr"/>
        <c:lblOffset val="100"/>
        <c:noMultiLvlLbl val="0"/>
      </c:catAx>
      <c:valAx>
        <c:axId val="428931088"/>
        <c:scaling>
          <c:orientation val="minMax"/>
        </c:scaling>
        <c:delete val="1"/>
        <c:axPos val="l"/>
        <c:numFmt formatCode="General" sourceLinked="1"/>
        <c:majorTickMark val="none"/>
        <c:minorTickMark val="none"/>
        <c:tickLblPos val="nextTo"/>
        <c:crossAx val="42893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Advance2.xlsx]Sheet5!PivotTable11</c:name>
    <c:fmtId val="9"/>
  </c:pivotSource>
  <c:chart>
    <c:autoTitleDeleted val="1"/>
    <c:pivotFmts>
      <c:pivotFmt>
        <c:idx val="0"/>
        <c:spPr>
          <a:solidFill>
            <a:srgbClr val="1C2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Sheet5!$Y$5</c:f>
              <c:strCache>
                <c:ptCount val="1"/>
                <c:pt idx="0">
                  <c:v>Total</c:v>
                </c:pt>
              </c:strCache>
            </c:strRef>
          </c:tx>
          <c:spPr>
            <a:solidFill>
              <a:srgbClr val="1C2C4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Sheet5!$X$6:$X$13</c:f>
              <c:strCache>
                <c:ptCount val="7"/>
                <c:pt idx="0">
                  <c:v>سرير</c:v>
                </c:pt>
                <c:pt idx="1">
                  <c:v>كنبة</c:v>
                </c:pt>
                <c:pt idx="2">
                  <c:v>ترابيزه</c:v>
                </c:pt>
                <c:pt idx="3">
                  <c:v>ركنه</c:v>
                </c:pt>
                <c:pt idx="4">
                  <c:v>غير معروف</c:v>
                </c:pt>
                <c:pt idx="5">
                  <c:v>فوتيه</c:v>
                </c:pt>
                <c:pt idx="6">
                  <c:v>شيزلونج</c:v>
                </c:pt>
              </c:strCache>
            </c:strRef>
          </c:cat>
          <c:val>
            <c:numRef>
              <c:f>Sheet5!$Y$6:$Y$13</c:f>
              <c:numCache>
                <c:formatCode>_(* #,##0_);_(* \(#,##0\);_(* "-"??_);_(@_)</c:formatCode>
                <c:ptCount val="7"/>
                <c:pt idx="0">
                  <c:v>935192.81544000003</c:v>
                </c:pt>
                <c:pt idx="1">
                  <c:v>164687</c:v>
                </c:pt>
                <c:pt idx="2">
                  <c:v>134108</c:v>
                </c:pt>
                <c:pt idx="3">
                  <c:v>22000</c:v>
                </c:pt>
                <c:pt idx="4">
                  <c:v>16698</c:v>
                </c:pt>
                <c:pt idx="5">
                  <c:v>9300</c:v>
                </c:pt>
              </c:numCache>
            </c:numRef>
          </c:val>
          <c:extLst>
            <c:ext xmlns:c16="http://schemas.microsoft.com/office/drawing/2014/chart" uri="{C3380CC4-5D6E-409C-BE32-E72D297353CC}">
              <c16:uniqueId val="{00000000-14A4-43B5-918F-E9FB14A53C8B}"/>
            </c:ext>
          </c:extLst>
        </c:ser>
        <c:dLbls>
          <c:dLblPos val="outEnd"/>
          <c:showLegendKey val="0"/>
          <c:showVal val="1"/>
          <c:showCatName val="0"/>
          <c:showSerName val="0"/>
          <c:showPercent val="0"/>
          <c:showBubbleSize val="0"/>
        </c:dLbls>
        <c:gapWidth val="219"/>
        <c:overlap val="-27"/>
        <c:axId val="779648000"/>
        <c:axId val="779652992"/>
      </c:barChart>
      <c:catAx>
        <c:axId val="77964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52992"/>
        <c:crosses val="autoZero"/>
        <c:auto val="1"/>
        <c:lblAlgn val="ctr"/>
        <c:lblOffset val="100"/>
        <c:noMultiLvlLbl val="0"/>
      </c:catAx>
      <c:valAx>
        <c:axId val="779652992"/>
        <c:scaling>
          <c:orientation val="minMax"/>
        </c:scaling>
        <c:delete val="1"/>
        <c:axPos val="l"/>
        <c:numFmt formatCode="_(* #,##0_);_(* \(#,##0\);_(* &quot;-&quot;??_);_(@_)" sourceLinked="1"/>
        <c:majorTickMark val="none"/>
        <c:minorTickMark val="none"/>
        <c:tickLblPos val="nextTo"/>
        <c:crossAx val="779648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Advance2.xlsx]Sheet5!PivotTable13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86558044806514E-2"/>
          <c:y val="3.2407407407407406E-2"/>
          <c:w val="0.94025797691785473"/>
          <c:h val="0.58941455234762319"/>
        </c:manualLayout>
      </c:layout>
      <c:barChart>
        <c:barDir val="col"/>
        <c:grouping val="clustered"/>
        <c:varyColors val="0"/>
        <c:ser>
          <c:idx val="0"/>
          <c:order val="0"/>
          <c:tx>
            <c:strRef>
              <c:f>Sheet5!$AF$5</c:f>
              <c:strCache>
                <c:ptCount val="1"/>
                <c:pt idx="0">
                  <c:v>Total</c:v>
                </c:pt>
              </c:strCache>
            </c:strRef>
          </c:tx>
          <c:spPr>
            <a:solidFill>
              <a:schemeClr val="accent1"/>
            </a:solidFill>
            <a:ln>
              <a:noFill/>
            </a:ln>
            <a:effectLst/>
          </c:spPr>
          <c:invertIfNegative val="0"/>
          <c:cat>
            <c:multiLvlStrRef>
              <c:f>Sheet5!$AE$6:$AE$25</c:f>
              <c:multiLvlStrCache>
                <c:ptCount val="15"/>
                <c:lvl>
                  <c:pt idx="0">
                    <c:v>هومزمارت</c:v>
                  </c:pt>
                  <c:pt idx="1">
                    <c:v>شيك هومز</c:v>
                  </c:pt>
                  <c:pt idx="2">
                    <c:v>اوسكار ريتن </c:v>
                  </c:pt>
                  <c:pt idx="3">
                    <c:v>منزلى</c:v>
                  </c:pt>
                  <c:pt idx="4">
                    <c:v>كيمت </c:v>
                  </c:pt>
                  <c:pt idx="5">
                    <c:v>هومزمارت</c:v>
                  </c:pt>
                  <c:pt idx="6">
                    <c:v>شيك هومز</c:v>
                  </c:pt>
                  <c:pt idx="7">
                    <c:v>تاكى</c:v>
                  </c:pt>
                  <c:pt idx="8">
                    <c:v>فيس بوك</c:v>
                  </c:pt>
                  <c:pt idx="9">
                    <c:v>اوسكار ريتن </c:v>
                  </c:pt>
                  <c:pt idx="10">
                    <c:v>السويس</c:v>
                  </c:pt>
                  <c:pt idx="11">
                    <c:v>اوسكار ريتن </c:v>
                  </c:pt>
                  <c:pt idx="12">
                    <c:v>تاكى</c:v>
                  </c:pt>
                  <c:pt idx="13">
                    <c:v>منزلى</c:v>
                  </c:pt>
                  <c:pt idx="14">
                    <c:v>شيك هومز</c:v>
                  </c:pt>
                </c:lvl>
                <c:lvl>
                  <c:pt idx="0">
                    <c:v>مسبق الدفع</c:v>
                  </c:pt>
                  <c:pt idx="5">
                    <c:v>كاش</c:v>
                  </c:pt>
                  <c:pt idx="10">
                    <c:v>غير معروف</c:v>
                  </c:pt>
                  <c:pt idx="11">
                    <c:v>حساب شركه</c:v>
                  </c:pt>
                </c:lvl>
              </c:multiLvlStrCache>
            </c:multiLvlStrRef>
          </c:cat>
          <c:val>
            <c:numRef>
              <c:f>Sheet5!$AF$6:$AF$25</c:f>
              <c:numCache>
                <c:formatCode>_(* #,##0_);_(* \(#,##0\);_(* "-"??_);_(@_)</c:formatCode>
                <c:ptCount val="15"/>
                <c:pt idx="0">
                  <c:v>53</c:v>
                </c:pt>
                <c:pt idx="1">
                  <c:v>7</c:v>
                </c:pt>
                <c:pt idx="2">
                  <c:v>2</c:v>
                </c:pt>
                <c:pt idx="3">
                  <c:v>1</c:v>
                </c:pt>
                <c:pt idx="4">
                  <c:v>1</c:v>
                </c:pt>
                <c:pt idx="5">
                  <c:v>25</c:v>
                </c:pt>
                <c:pt idx="6">
                  <c:v>8</c:v>
                </c:pt>
                <c:pt idx="7">
                  <c:v>6</c:v>
                </c:pt>
                <c:pt idx="8">
                  <c:v>3</c:v>
                </c:pt>
                <c:pt idx="9">
                  <c:v>2</c:v>
                </c:pt>
                <c:pt idx="10">
                  <c:v>4</c:v>
                </c:pt>
                <c:pt idx="11">
                  <c:v>9</c:v>
                </c:pt>
                <c:pt idx="12">
                  <c:v>3</c:v>
                </c:pt>
                <c:pt idx="13">
                  <c:v>1</c:v>
                </c:pt>
                <c:pt idx="14">
                  <c:v>1</c:v>
                </c:pt>
              </c:numCache>
            </c:numRef>
          </c:val>
          <c:extLst>
            <c:ext xmlns:c16="http://schemas.microsoft.com/office/drawing/2014/chart" uri="{C3380CC4-5D6E-409C-BE32-E72D297353CC}">
              <c16:uniqueId val="{00000000-66A6-4672-8CB2-4ED2EB539FA4}"/>
            </c:ext>
          </c:extLst>
        </c:ser>
        <c:dLbls>
          <c:showLegendKey val="0"/>
          <c:showVal val="0"/>
          <c:showCatName val="0"/>
          <c:showSerName val="0"/>
          <c:showPercent val="0"/>
          <c:showBubbleSize val="0"/>
        </c:dLbls>
        <c:gapWidth val="219"/>
        <c:overlap val="-27"/>
        <c:axId val="769664464"/>
        <c:axId val="769661968"/>
      </c:barChart>
      <c:catAx>
        <c:axId val="76966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661968"/>
        <c:crosses val="autoZero"/>
        <c:auto val="1"/>
        <c:lblAlgn val="ctr"/>
        <c:lblOffset val="100"/>
        <c:noMultiLvlLbl val="0"/>
      </c:catAx>
      <c:valAx>
        <c:axId val="769661968"/>
        <c:scaling>
          <c:orientation val="minMax"/>
        </c:scaling>
        <c:delete val="1"/>
        <c:axPos val="l"/>
        <c:numFmt formatCode="_(* #,##0_);_(* \(#,##0\);_(* &quot;-&quot;??_);_(@_)" sourceLinked="1"/>
        <c:majorTickMark val="none"/>
        <c:minorTickMark val="none"/>
        <c:tickLblPos val="nextTo"/>
        <c:crossAx val="769664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Advance2.xlsx]Sheet5!PivotTable3</c:name>
    <c:fmtId val="0"/>
  </c:pivotSource>
  <c:chart>
    <c:autoTitleDeleted val="0"/>
    <c:pivotFmts>
      <c:pivotFmt>
        <c:idx val="0"/>
        <c:spPr>
          <a:solidFill>
            <a:schemeClr val="accent3"/>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4242424242424242E-2"/>
              <c:y val="-1.20299192121909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8891638545181862E-2"/>
                  <c:h val="6.811044431716208E-2"/>
                </c:manualLayout>
              </c15:layout>
            </c:ext>
          </c:extLst>
        </c:dLbl>
      </c:pivotFmt>
      <c:pivotFmt>
        <c:idx val="4"/>
        <c:spPr>
          <a:solidFill>
            <a:schemeClr val="accent1"/>
          </a:solidFill>
          <a:ln>
            <a:noFill/>
          </a:ln>
          <a:effectLst/>
        </c:spPr>
        <c:dLbl>
          <c:idx val="0"/>
          <c:layout>
            <c:manualLayout>
              <c:x val="2.7705627705627706E-2"/>
              <c:y val="-1.20300770872184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3.8095238095238099E-2"/>
          <c:y val="4.4110282653134041E-2"/>
          <c:w val="0.79400320414493641"/>
          <c:h val="0.78246305250733961"/>
        </c:manualLayout>
      </c:layout>
      <c:barChart>
        <c:barDir val="col"/>
        <c:grouping val="clustered"/>
        <c:varyColors val="0"/>
        <c:ser>
          <c:idx val="2"/>
          <c:order val="0"/>
          <c:tx>
            <c:strRef>
              <c:f>Sheet5!$AR$6:$AR$7</c:f>
              <c:strCache>
                <c:ptCount val="1"/>
                <c:pt idx="0">
                  <c:v>0</c:v>
                </c:pt>
              </c:strCache>
            </c:strRef>
          </c:tx>
          <c:spPr>
            <a:solidFill>
              <a:schemeClr val="accent3"/>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Sheet5!$AQ$8:$AQ$14</c:f>
              <c:strCache>
                <c:ptCount val="6"/>
                <c:pt idx="0">
                  <c:v>العميل رفض الاستلام</c:v>
                </c:pt>
                <c:pt idx="1">
                  <c:v>تم التسليم بمعرفه الحج سيد </c:v>
                </c:pt>
                <c:pt idx="2">
                  <c:v>تم التسليم عن طريق شركه شحن </c:v>
                </c:pt>
                <c:pt idx="3">
                  <c:v>تم التسليم محمود على </c:v>
                </c:pt>
                <c:pt idx="4">
                  <c:v>غير موجود</c:v>
                </c:pt>
                <c:pt idx="5">
                  <c:v>فشل التسليم </c:v>
                </c:pt>
              </c:strCache>
            </c:strRef>
          </c:cat>
          <c:val>
            <c:numRef>
              <c:f>Sheet5!$AR$8:$AR$14</c:f>
              <c:numCache>
                <c:formatCode>0%</c:formatCode>
                <c:ptCount val="6"/>
                <c:pt idx="0">
                  <c:v>1</c:v>
                </c:pt>
                <c:pt idx="1">
                  <c:v>0</c:v>
                </c:pt>
                <c:pt idx="2">
                  <c:v>0.16666666666666666</c:v>
                </c:pt>
                <c:pt idx="3">
                  <c:v>1.2500000000000001E-2</c:v>
                </c:pt>
                <c:pt idx="4">
                  <c:v>0.95</c:v>
                </c:pt>
                <c:pt idx="5">
                  <c:v>1</c:v>
                </c:pt>
              </c:numCache>
            </c:numRef>
          </c:val>
          <c:extLst>
            <c:ext xmlns:c16="http://schemas.microsoft.com/office/drawing/2014/chart" uri="{C3380CC4-5D6E-409C-BE32-E72D297353CC}">
              <c16:uniqueId val="{00000014-8AEB-490A-900B-862AC5B08320}"/>
            </c:ext>
          </c:extLst>
        </c:ser>
        <c:ser>
          <c:idx val="0"/>
          <c:order val="1"/>
          <c:tx>
            <c:strRef>
              <c:f>Sheet5!$AS$6:$AS$7</c:f>
              <c:strCache>
                <c:ptCount val="1"/>
                <c:pt idx="0">
                  <c:v>تأخير</c:v>
                </c:pt>
              </c:strCache>
            </c:strRef>
          </c:tx>
          <c:spPr>
            <a:solidFill>
              <a:schemeClr val="accent1"/>
            </a:solidFill>
            <a:ln>
              <a:noFill/>
            </a:ln>
            <a:effectLst/>
          </c:spPr>
          <c:invertIfNegative val="0"/>
          <c:dPt>
            <c:idx val="2"/>
            <c:invertIfNegative val="0"/>
            <c:bubble3D val="0"/>
            <c:spPr>
              <a:solidFill>
                <a:schemeClr val="accent1"/>
              </a:solidFill>
              <a:ln>
                <a:noFill/>
              </a:ln>
              <a:effectLst/>
            </c:spPr>
          </c:dPt>
          <c:dPt>
            <c:idx val="3"/>
            <c:invertIfNegative val="0"/>
            <c:bubble3D val="0"/>
            <c:spPr>
              <a:solidFill>
                <a:schemeClr val="accent1"/>
              </a:solidFill>
              <a:ln>
                <a:noFill/>
              </a:ln>
              <a:effectLst/>
            </c:spPr>
          </c:dPt>
          <c:dLbls>
            <c:dLbl>
              <c:idx val="2"/>
              <c:layout>
                <c:manualLayout>
                  <c:x val="2.7705627705627706E-2"/>
                  <c:y val="-1.20300770872184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dLbl>
              <c:idx val="3"/>
              <c:layout>
                <c:manualLayout>
                  <c:x val="2.4242424242424242E-2"/>
                  <c:y val="-1.20299192121909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8891638545181862E-2"/>
                      <c:h val="6.811044431716208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Sheet5!$AQ$8:$AQ$14</c:f>
              <c:strCache>
                <c:ptCount val="6"/>
                <c:pt idx="0">
                  <c:v>العميل رفض الاستلام</c:v>
                </c:pt>
                <c:pt idx="1">
                  <c:v>تم التسليم بمعرفه الحج سيد </c:v>
                </c:pt>
                <c:pt idx="2">
                  <c:v>تم التسليم عن طريق شركه شحن </c:v>
                </c:pt>
                <c:pt idx="3">
                  <c:v>تم التسليم محمود على </c:v>
                </c:pt>
                <c:pt idx="4">
                  <c:v>غير موجود</c:v>
                </c:pt>
                <c:pt idx="5">
                  <c:v>فشل التسليم </c:v>
                </c:pt>
              </c:strCache>
            </c:strRef>
          </c:cat>
          <c:val>
            <c:numRef>
              <c:f>Sheet5!$AS$8:$AS$14</c:f>
              <c:numCache>
                <c:formatCode>0%</c:formatCode>
                <c:ptCount val="6"/>
                <c:pt idx="0">
                  <c:v>0</c:v>
                </c:pt>
                <c:pt idx="1">
                  <c:v>0</c:v>
                </c:pt>
                <c:pt idx="2">
                  <c:v>0.5</c:v>
                </c:pt>
                <c:pt idx="3">
                  <c:v>0.55000000000000004</c:v>
                </c:pt>
                <c:pt idx="4">
                  <c:v>0.05</c:v>
                </c:pt>
                <c:pt idx="5">
                  <c:v>0</c:v>
                </c:pt>
              </c:numCache>
            </c:numRef>
          </c:val>
          <c:extLst>
            <c:ext xmlns:c16="http://schemas.microsoft.com/office/drawing/2014/chart" uri="{C3380CC4-5D6E-409C-BE32-E72D297353CC}">
              <c16:uniqueId val="{00000006-EF72-4E5C-9734-520FA43FF336}"/>
            </c:ext>
          </c:extLst>
        </c:ser>
        <c:ser>
          <c:idx val="1"/>
          <c:order val="2"/>
          <c:tx>
            <c:strRef>
              <c:f>Sheet5!$AT$6:$AT$7</c:f>
              <c:strCache>
                <c:ptCount val="1"/>
                <c:pt idx="0">
                  <c:v>قبل الموعد</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Sheet5!$AQ$8:$AQ$14</c:f>
              <c:strCache>
                <c:ptCount val="6"/>
                <c:pt idx="0">
                  <c:v>العميل رفض الاستلام</c:v>
                </c:pt>
                <c:pt idx="1">
                  <c:v>تم التسليم بمعرفه الحج سيد </c:v>
                </c:pt>
                <c:pt idx="2">
                  <c:v>تم التسليم عن طريق شركه شحن </c:v>
                </c:pt>
                <c:pt idx="3">
                  <c:v>تم التسليم محمود على </c:v>
                </c:pt>
                <c:pt idx="4">
                  <c:v>غير موجود</c:v>
                </c:pt>
                <c:pt idx="5">
                  <c:v>فشل التسليم </c:v>
                </c:pt>
              </c:strCache>
            </c:strRef>
          </c:cat>
          <c:val>
            <c:numRef>
              <c:f>Sheet5!$AT$8:$AT$14</c:f>
              <c:numCache>
                <c:formatCode>0%</c:formatCode>
                <c:ptCount val="6"/>
                <c:pt idx="0">
                  <c:v>0</c:v>
                </c:pt>
                <c:pt idx="1">
                  <c:v>1</c:v>
                </c:pt>
                <c:pt idx="2">
                  <c:v>0.33333333333333331</c:v>
                </c:pt>
                <c:pt idx="3">
                  <c:v>0.4375</c:v>
                </c:pt>
                <c:pt idx="4">
                  <c:v>0</c:v>
                </c:pt>
                <c:pt idx="5">
                  <c:v>0</c:v>
                </c:pt>
              </c:numCache>
            </c:numRef>
          </c:val>
          <c:extLst>
            <c:ext xmlns:c16="http://schemas.microsoft.com/office/drawing/2014/chart" uri="{C3380CC4-5D6E-409C-BE32-E72D297353CC}">
              <c16:uniqueId val="{00000007-EF72-4E5C-9734-520FA43FF336}"/>
            </c:ext>
          </c:extLst>
        </c:ser>
        <c:dLbls>
          <c:dLblPos val="outEnd"/>
          <c:showLegendKey val="0"/>
          <c:showVal val="1"/>
          <c:showCatName val="0"/>
          <c:showSerName val="0"/>
          <c:showPercent val="0"/>
          <c:showBubbleSize val="0"/>
        </c:dLbls>
        <c:gapWidth val="219"/>
        <c:overlap val="-27"/>
        <c:axId val="1417114335"/>
        <c:axId val="1417122239"/>
      </c:barChart>
      <c:catAx>
        <c:axId val="141711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122239"/>
        <c:crosses val="autoZero"/>
        <c:auto val="1"/>
        <c:lblAlgn val="ctr"/>
        <c:lblOffset val="100"/>
        <c:noMultiLvlLbl val="0"/>
      </c:catAx>
      <c:valAx>
        <c:axId val="1417122239"/>
        <c:scaling>
          <c:orientation val="minMax"/>
        </c:scaling>
        <c:delete val="1"/>
        <c:axPos val="l"/>
        <c:numFmt formatCode="0%" sourceLinked="1"/>
        <c:majorTickMark val="none"/>
        <c:minorTickMark val="none"/>
        <c:tickLblPos val="nextTo"/>
        <c:crossAx val="141711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Advance2.xlsx]Sheet5!PivotTable17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903625110521665E-2"/>
          <c:y val="5.7179998706594161E-2"/>
          <c:w val="0.92219274977895671"/>
          <c:h val="0.82555802685208757"/>
        </c:manualLayout>
      </c:layout>
      <c:barChart>
        <c:barDir val="col"/>
        <c:grouping val="clustered"/>
        <c:varyColors val="0"/>
        <c:ser>
          <c:idx val="0"/>
          <c:order val="0"/>
          <c:tx>
            <c:strRef>
              <c:f>Sheet5!$AX$6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Sheet5!$AW$7:$AW$11</c:f>
              <c:strCache>
                <c:ptCount val="4"/>
                <c:pt idx="0">
                  <c:v>تم التسليم</c:v>
                </c:pt>
                <c:pt idx="1">
                  <c:v>فشل التسليم</c:v>
                </c:pt>
                <c:pt idx="2">
                  <c:v>لغي</c:v>
                </c:pt>
                <c:pt idx="3">
                  <c:v>مرتجع</c:v>
                </c:pt>
              </c:strCache>
            </c:strRef>
          </c:cat>
          <c:val>
            <c:numRef>
              <c:f>Sheet5!$AX$7:$AX$11</c:f>
              <c:numCache>
                <c:formatCode>_(* #,##0_);_(* \(#,##0\);_(* "-"??_);_(@_)</c:formatCode>
                <c:ptCount val="4"/>
                <c:pt idx="0">
                  <c:v>102</c:v>
                </c:pt>
                <c:pt idx="1">
                  <c:v>3</c:v>
                </c:pt>
                <c:pt idx="2">
                  <c:v>20</c:v>
                </c:pt>
                <c:pt idx="3">
                  <c:v>1</c:v>
                </c:pt>
              </c:numCache>
            </c:numRef>
          </c:val>
          <c:extLst>
            <c:ext xmlns:c16="http://schemas.microsoft.com/office/drawing/2014/chart" uri="{C3380CC4-5D6E-409C-BE32-E72D297353CC}">
              <c16:uniqueId val="{00000000-BF94-4773-84F5-65529DB60624}"/>
            </c:ext>
          </c:extLst>
        </c:ser>
        <c:dLbls>
          <c:dLblPos val="outEnd"/>
          <c:showLegendKey val="0"/>
          <c:showVal val="1"/>
          <c:showCatName val="0"/>
          <c:showSerName val="0"/>
          <c:showPercent val="0"/>
          <c:showBubbleSize val="0"/>
        </c:dLbls>
        <c:gapWidth val="219"/>
        <c:overlap val="-27"/>
        <c:axId val="511175472"/>
        <c:axId val="511180880"/>
      </c:barChart>
      <c:catAx>
        <c:axId val="511175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180880"/>
        <c:crosses val="autoZero"/>
        <c:auto val="1"/>
        <c:lblAlgn val="ctr"/>
        <c:lblOffset val="100"/>
        <c:noMultiLvlLbl val="0"/>
      </c:catAx>
      <c:valAx>
        <c:axId val="511180880"/>
        <c:scaling>
          <c:orientation val="minMax"/>
        </c:scaling>
        <c:delete val="1"/>
        <c:axPos val="l"/>
        <c:numFmt formatCode="_(* #,##0_);_(* \(#,##0\);_(* &quot;-&quot;??_);_(@_)" sourceLinked="1"/>
        <c:majorTickMark val="out"/>
        <c:minorTickMark val="none"/>
        <c:tickLblPos val="nextTo"/>
        <c:crossAx val="51117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Advance2.xlsx]Sheet5!PivotTable7</c:name>
    <c:fmtId val="1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553442204923625E-2"/>
          <c:y val="4.6296296296296294E-2"/>
          <c:w val="0.95494111623143885"/>
          <c:h val="0.8416746864975212"/>
        </c:manualLayout>
      </c:layout>
      <c:lineChart>
        <c:grouping val="standard"/>
        <c:varyColors val="0"/>
        <c:ser>
          <c:idx val="0"/>
          <c:order val="0"/>
          <c:tx>
            <c:strRef>
              <c:f>Sheet5!$BF$6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Sheet5!$BE$7:$BE$14</c:f>
              <c:strCache>
                <c:ptCount val="7"/>
                <c:pt idx="0">
                  <c:v>&lt;7/27/2024</c:v>
                </c:pt>
                <c:pt idx="1">
                  <c:v>Jul</c:v>
                </c:pt>
                <c:pt idx="2">
                  <c:v>Aug</c:v>
                </c:pt>
                <c:pt idx="3">
                  <c:v>Sep</c:v>
                </c:pt>
                <c:pt idx="4">
                  <c:v>Oct</c:v>
                </c:pt>
                <c:pt idx="5">
                  <c:v>Nov</c:v>
                </c:pt>
                <c:pt idx="6">
                  <c:v>Dec</c:v>
                </c:pt>
              </c:strCache>
            </c:strRef>
          </c:cat>
          <c:val>
            <c:numRef>
              <c:f>Sheet5!$BF$7:$BF$14</c:f>
              <c:numCache>
                <c:formatCode>_(* #,##0_);_(* \(#,##0\);_(* "-"??_);_(@_)</c:formatCode>
                <c:ptCount val="7"/>
                <c:pt idx="0">
                  <c:v>16000</c:v>
                </c:pt>
                <c:pt idx="1">
                  <c:v>31775</c:v>
                </c:pt>
                <c:pt idx="2">
                  <c:v>89253</c:v>
                </c:pt>
                <c:pt idx="3">
                  <c:v>670451</c:v>
                </c:pt>
                <c:pt idx="4">
                  <c:v>218827.81544000001</c:v>
                </c:pt>
                <c:pt idx="5">
                  <c:v>184671</c:v>
                </c:pt>
                <c:pt idx="6">
                  <c:v>71008</c:v>
                </c:pt>
              </c:numCache>
            </c:numRef>
          </c:val>
          <c:smooth val="0"/>
          <c:extLst>
            <c:ext xmlns:c16="http://schemas.microsoft.com/office/drawing/2014/chart" uri="{C3380CC4-5D6E-409C-BE32-E72D297353CC}">
              <c16:uniqueId val="{00000000-D084-4A4F-87F6-ACE39B6E3A4F}"/>
            </c:ext>
          </c:extLst>
        </c:ser>
        <c:dLbls>
          <c:dLblPos val="t"/>
          <c:showLegendKey val="0"/>
          <c:showVal val="1"/>
          <c:showCatName val="0"/>
          <c:showSerName val="0"/>
          <c:showPercent val="0"/>
          <c:showBubbleSize val="0"/>
        </c:dLbls>
        <c:smooth val="0"/>
        <c:axId val="896931695"/>
        <c:axId val="896927535"/>
      </c:lineChart>
      <c:catAx>
        <c:axId val="89693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27535"/>
        <c:crosses val="autoZero"/>
        <c:auto val="1"/>
        <c:lblAlgn val="ctr"/>
        <c:lblOffset val="100"/>
        <c:noMultiLvlLbl val="0"/>
      </c:catAx>
      <c:valAx>
        <c:axId val="896927535"/>
        <c:scaling>
          <c:orientation val="minMax"/>
        </c:scaling>
        <c:delete val="1"/>
        <c:axPos val="l"/>
        <c:numFmt formatCode="_(* #,##0_);_(* \(#,##0\);_(* &quot;-&quot;??_);_(@_)" sourceLinked="1"/>
        <c:majorTickMark val="none"/>
        <c:minorTickMark val="none"/>
        <c:tickLblPos val="nextTo"/>
        <c:crossAx val="896931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2C4C"/>
          </a:solidFill>
          <a:ln w="19050">
            <a:solidFill>
              <a:schemeClr val="lt1"/>
            </a:solidFill>
          </a:ln>
          <a:effectLst/>
        </c:spPr>
        <c:dLbl>
          <c:idx val="0"/>
          <c:layout>
            <c:manualLayout>
              <c:x val="-0.30367734282325032"/>
              <c:y val="-0.1635010449502646"/>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F7FF06C6-D481-49E3-BD01-4F339B98D747}" type="VALUE">
                  <a:rPr lang="en-US" sz="1400">
                    <a:solidFill>
                      <a:schemeClr val="bg1"/>
                    </a:solidFill>
                  </a:rPr>
                  <a:pPr>
                    <a:defRPr sz="14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724792408066431"/>
                  <c:h val="0.10210208278790613"/>
                </c:manualLayout>
              </c15:layout>
              <c15:dlblFieldTable/>
              <c15:showDataLabelsRange val="0"/>
            </c:ext>
          </c:extLst>
        </c:dLbl>
      </c:pivotFmt>
      <c:pivotFmt>
        <c:idx val="2"/>
        <c:spPr>
          <a:solidFill>
            <a:schemeClr val="accent1">
              <a:lumMod val="75000"/>
            </a:schemeClr>
          </a:solidFill>
          <a:ln w="19050">
            <a:solidFill>
              <a:schemeClr val="lt1"/>
            </a:solidFill>
          </a:ln>
          <a:effectLst/>
        </c:spPr>
        <c:dLbl>
          <c:idx val="0"/>
          <c:layout>
            <c:manualLayout>
              <c:x val="0.10438908659549229"/>
              <c:y val="0.1503640679361437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893238434163699"/>
                  <c:h val="9.3693675970078549E-2"/>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C2C4C"/>
          </a:solidFill>
          <a:ln w="19050">
            <a:solidFill>
              <a:schemeClr val="lt1"/>
            </a:solidFill>
          </a:ln>
          <a:effectLst/>
        </c:spPr>
        <c:dLbl>
          <c:idx val="0"/>
          <c:layout>
            <c:manualLayout>
              <c:x val="-0.30367734282325032"/>
              <c:y val="-0.1635010449502646"/>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F7FF06C6-D481-49E3-BD01-4F339B98D747}" type="VALUE">
                  <a:rPr lang="en-US" sz="1400">
                    <a:solidFill>
                      <a:schemeClr val="bg1"/>
                    </a:solidFill>
                  </a:rPr>
                  <a:pPr>
                    <a:defRPr sz="14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724792408066431"/>
                  <c:h val="0.10210208278790613"/>
                </c:manualLayout>
              </c15:layout>
              <c15:dlblFieldTable/>
              <c15:showDataLabelsRange val="0"/>
            </c:ext>
          </c:extLst>
        </c:dLbl>
      </c:pivotFmt>
      <c:pivotFmt>
        <c:idx val="5"/>
        <c:spPr>
          <a:solidFill>
            <a:schemeClr val="accent1">
              <a:lumMod val="75000"/>
            </a:schemeClr>
          </a:solidFill>
          <a:ln w="19050">
            <a:solidFill>
              <a:schemeClr val="lt1"/>
            </a:solidFill>
          </a:ln>
          <a:effectLst/>
        </c:spPr>
        <c:dLbl>
          <c:idx val="0"/>
          <c:layout>
            <c:manualLayout>
              <c:x val="0.10438908659549229"/>
              <c:y val="0.1503640679361437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893238434163699"/>
                  <c:h val="9.3693675970078549E-2"/>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C2C4C"/>
          </a:solidFill>
          <a:ln w="19050">
            <a:solidFill>
              <a:schemeClr val="lt1"/>
            </a:solidFill>
          </a:ln>
          <a:effectLst/>
        </c:spPr>
        <c:dLbl>
          <c:idx val="0"/>
          <c:layout>
            <c:manualLayout>
              <c:x val="-0.30367734282325032"/>
              <c:y val="-0.1635010449502646"/>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fld id="{F7FF06C6-D481-49E3-BD01-4F339B98D747}" type="VALUE">
                  <a:rPr lang="en-US" sz="1400" b="1">
                    <a:solidFill>
                      <a:schemeClr val="bg1"/>
                    </a:solidFill>
                  </a:rPr>
                  <a:pPr>
                    <a:defRPr sz="14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724792408066431"/>
                  <c:h val="0.10210208278790613"/>
                </c:manualLayout>
              </c15:layout>
              <c15:dlblFieldTable/>
              <c15:showDataLabelsRange val="0"/>
            </c:ext>
          </c:extLst>
        </c:dLbl>
      </c:pivotFmt>
      <c:pivotFmt>
        <c:idx val="8"/>
        <c:spPr>
          <a:solidFill>
            <a:schemeClr val="accent1">
              <a:lumMod val="75000"/>
            </a:schemeClr>
          </a:solidFill>
          <a:ln w="19050">
            <a:solidFill>
              <a:schemeClr val="lt1"/>
            </a:solidFill>
          </a:ln>
          <a:effectLst/>
        </c:spPr>
        <c:dLbl>
          <c:idx val="0"/>
          <c:layout>
            <c:manualLayout>
              <c:x val="0.13613517060367453"/>
              <c:y val="0.1812283373327195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893238434163699"/>
                  <c:h val="9.3693675970078549E-2"/>
                </c:manualLayout>
              </c15:layout>
            </c:ext>
          </c:extLst>
        </c:dLbl>
      </c:pivotFmt>
    </c:pivotFmts>
    <c:plotArea>
      <c:layout/>
      <c:pieChart>
        <c:varyColors val="1"/>
        <c:ser>
          <c:idx val="0"/>
          <c:order val="0"/>
          <c:tx>
            <c:strRef>
              <c:f>Sheet5!$B$5</c:f>
              <c:strCache>
                <c:ptCount val="1"/>
                <c:pt idx="0">
                  <c:v>Total</c:v>
                </c:pt>
              </c:strCache>
            </c:strRef>
          </c:tx>
          <c:dPt>
            <c:idx val="0"/>
            <c:bubble3D val="0"/>
            <c:spPr>
              <a:solidFill>
                <a:srgbClr val="1C2C4C"/>
              </a:solidFill>
              <a:ln w="19050">
                <a:solidFill>
                  <a:schemeClr val="lt1"/>
                </a:solidFill>
              </a:ln>
              <a:effectLst/>
            </c:spPr>
            <c:extLst>
              <c:ext xmlns:c16="http://schemas.microsoft.com/office/drawing/2014/chart" uri="{C3380CC4-5D6E-409C-BE32-E72D297353CC}">
                <c16:uniqueId val="{00000001-B59D-4520-9BED-D239F9FB1A81}"/>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B59D-4520-9BED-D239F9FB1A81}"/>
              </c:ext>
            </c:extLst>
          </c:dPt>
          <c:dLbls>
            <c:dLbl>
              <c:idx val="0"/>
              <c:layout>
                <c:manualLayout>
                  <c:x val="-0.30367734282325032"/>
                  <c:y val="-0.1635010449502646"/>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fld id="{F7FF06C6-D481-49E3-BD01-4F339B98D747}" type="VALUE">
                      <a:rPr lang="en-US" sz="1400" b="1">
                        <a:solidFill>
                          <a:schemeClr val="bg1"/>
                        </a:solidFill>
                      </a:rPr>
                      <a:pPr>
                        <a:defRPr sz="14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724792408066431"/>
                      <c:h val="0.10210208278790613"/>
                    </c:manualLayout>
                  </c15:layout>
                  <c15:dlblFieldTable/>
                  <c15:showDataLabelsRange val="0"/>
                </c:ext>
                <c:ext xmlns:c16="http://schemas.microsoft.com/office/drawing/2014/chart" uri="{C3380CC4-5D6E-409C-BE32-E72D297353CC}">
                  <c16:uniqueId val="{00000001-B59D-4520-9BED-D239F9FB1A81}"/>
                </c:ext>
              </c:extLst>
            </c:dLbl>
            <c:dLbl>
              <c:idx val="1"/>
              <c:layout>
                <c:manualLayout>
                  <c:x val="0.13613517060367453"/>
                  <c:y val="0.1812283373327195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893238434163699"/>
                      <c:h val="9.3693675970078549E-2"/>
                    </c:manualLayout>
                  </c15:layout>
                </c:ext>
                <c:ext xmlns:c16="http://schemas.microsoft.com/office/drawing/2014/chart" uri="{C3380CC4-5D6E-409C-BE32-E72D297353CC}">
                  <c16:uniqueId val="{00000003-B59D-4520-9BED-D239F9FB1A8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Sheet5!$A$6:$A$8</c:f>
              <c:strCache>
                <c:ptCount val="2"/>
                <c:pt idx="0">
                  <c:v>افراد</c:v>
                </c:pt>
                <c:pt idx="1">
                  <c:v>شركة</c:v>
                </c:pt>
              </c:strCache>
            </c:strRef>
          </c:cat>
          <c:val>
            <c:numRef>
              <c:f>Sheet5!$B$6:$B$8</c:f>
              <c:numCache>
                <c:formatCode>0.00%</c:formatCode>
                <c:ptCount val="2"/>
                <c:pt idx="0">
                  <c:v>0.72222222222222221</c:v>
                </c:pt>
                <c:pt idx="1">
                  <c:v>0.27777777777777779</c:v>
                </c:pt>
              </c:numCache>
            </c:numRef>
          </c:val>
          <c:extLst>
            <c:ext xmlns:c16="http://schemas.microsoft.com/office/drawing/2014/chart" uri="{C3380CC4-5D6E-409C-BE32-E72D297353CC}">
              <c16:uniqueId val="{00000004-B59D-4520-9BED-D239F9FB1A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860462726856647"/>
          <c:y val="0.41891836676013966"/>
          <c:w val="0.22292562184175377"/>
          <c:h val="0.328830236624009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Advance2.xlsx]Sheet5!PivotTable6</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2C4C"/>
          </a:solidFill>
          <a:ln w="19050">
            <a:solidFill>
              <a:schemeClr val="lt1"/>
            </a:solidFill>
          </a:ln>
          <a:effectLst/>
        </c:spPr>
        <c:dLbl>
          <c:idx val="0"/>
          <c:layout>
            <c:manualLayout>
              <c:x val="-0.26732004740854076"/>
              <c:y val="3.534254846798634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105909939143424"/>
                  <c:h val="0.21261257239363981"/>
                </c:manualLayout>
              </c15:layout>
            </c:ext>
          </c:extLst>
        </c:dLbl>
      </c:pivotFmt>
      <c:pivotFmt>
        <c:idx val="2"/>
        <c:spPr>
          <a:solidFill>
            <a:schemeClr val="accent1">
              <a:lumMod val="75000"/>
            </a:schemeClr>
          </a:solidFill>
          <a:ln w="19050">
            <a:solidFill>
              <a:schemeClr val="lt1"/>
            </a:solidFill>
          </a:ln>
          <a:effectLst/>
        </c:spPr>
        <c:dLbl>
          <c:idx val="0"/>
          <c:layout>
            <c:manualLayout>
              <c:x val="0.16089108827062509"/>
              <c:y val="-0.21568537690092418"/>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619379771189492"/>
                  <c:h val="0.17864260884961644"/>
                </c:manualLayout>
              </c15:layout>
            </c:ext>
          </c:extLst>
        </c:dLbl>
      </c:pivotFmt>
      <c:pivotFmt>
        <c:idx val="3"/>
        <c:spPr>
          <a:solidFill>
            <a:schemeClr val="accent1"/>
          </a:solidFill>
          <a:ln w="19050">
            <a:solidFill>
              <a:schemeClr val="lt1"/>
            </a:solidFill>
          </a:ln>
          <a:effectLst/>
        </c:spPr>
        <c:dLbl>
          <c:idx val="0"/>
          <c:layout>
            <c:manualLayout>
              <c:x val="0.15200513148933417"/>
              <c:y val="0.1714119464828078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C2C4C"/>
          </a:solidFill>
          <a:ln w="19050">
            <a:solidFill>
              <a:schemeClr val="lt1"/>
            </a:solidFill>
          </a:ln>
          <a:effectLst/>
        </c:spPr>
        <c:dLbl>
          <c:idx val="0"/>
          <c:layout>
            <c:manualLayout>
              <c:x val="-0.26732004740854076"/>
              <c:y val="3.534254846798634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105909939143424"/>
                  <c:h val="0.21261257239363981"/>
                </c:manualLayout>
              </c15:layout>
            </c:ext>
          </c:extLst>
        </c:dLbl>
      </c:pivotFmt>
      <c:pivotFmt>
        <c:idx val="6"/>
        <c:spPr>
          <a:solidFill>
            <a:schemeClr val="accent1">
              <a:lumMod val="75000"/>
            </a:schemeClr>
          </a:solidFill>
          <a:ln w="19050">
            <a:solidFill>
              <a:schemeClr val="lt1"/>
            </a:solidFill>
          </a:ln>
          <a:effectLst/>
        </c:spPr>
        <c:dLbl>
          <c:idx val="0"/>
          <c:layout>
            <c:manualLayout>
              <c:x val="0.16089108827062509"/>
              <c:y val="-0.21568537690092418"/>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619379771189492"/>
                  <c:h val="0.17864260884961644"/>
                </c:manualLayout>
              </c15:layout>
            </c:ext>
          </c:extLst>
        </c:dLbl>
      </c:pivotFmt>
      <c:pivotFmt>
        <c:idx val="7"/>
        <c:spPr>
          <a:solidFill>
            <a:schemeClr val="accent1"/>
          </a:solidFill>
          <a:ln w="19050">
            <a:solidFill>
              <a:schemeClr val="lt1"/>
            </a:solidFill>
          </a:ln>
          <a:effectLst/>
        </c:spPr>
        <c:dLbl>
          <c:idx val="0"/>
          <c:layout>
            <c:manualLayout>
              <c:x val="0.15200513148933417"/>
              <c:y val="0.1714119464828078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C2C4C"/>
          </a:solidFill>
          <a:ln w="19050">
            <a:solidFill>
              <a:schemeClr val="lt1"/>
            </a:solidFill>
          </a:ln>
          <a:effectLst/>
        </c:spPr>
        <c:dLbl>
          <c:idx val="0"/>
          <c:layout>
            <c:manualLayout>
              <c:x val="-0.26732004740854076"/>
              <c:y val="3.5342548467986346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105909939143424"/>
                  <c:h val="0.21261257239363981"/>
                </c:manualLayout>
              </c15:layout>
            </c:ext>
          </c:extLst>
        </c:dLbl>
      </c:pivotFmt>
      <c:pivotFmt>
        <c:idx val="10"/>
        <c:spPr>
          <a:solidFill>
            <a:schemeClr val="accent1">
              <a:lumMod val="75000"/>
            </a:schemeClr>
          </a:solidFill>
          <a:ln w="19050">
            <a:solidFill>
              <a:schemeClr val="lt1"/>
            </a:solidFill>
          </a:ln>
          <a:effectLst/>
        </c:spPr>
        <c:dLbl>
          <c:idx val="0"/>
          <c:layout>
            <c:manualLayout>
              <c:x val="0.16089108827062509"/>
              <c:y val="-0.215685376900924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619379771189492"/>
                  <c:h val="0.17864260884961644"/>
                </c:manualLayout>
              </c15:layout>
            </c:ext>
          </c:extLst>
        </c:dLbl>
      </c:pivotFmt>
      <c:pivotFmt>
        <c:idx val="11"/>
        <c:spPr>
          <a:solidFill>
            <a:schemeClr val="accent1"/>
          </a:solidFill>
          <a:ln w="19050">
            <a:solidFill>
              <a:schemeClr val="lt1"/>
            </a:solidFill>
          </a:ln>
          <a:effectLst/>
        </c:spPr>
        <c:dLbl>
          <c:idx val="0"/>
          <c:layout>
            <c:manualLayout>
              <c:x val="0.15200513148933417"/>
              <c:y val="0.1714119464828078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30480460251165"/>
          <c:y val="0.16114744770330375"/>
          <c:w val="0.68280980814268477"/>
          <c:h val="0.72094833965650573"/>
        </c:manualLayout>
      </c:layout>
      <c:pieChart>
        <c:varyColors val="1"/>
        <c:ser>
          <c:idx val="0"/>
          <c:order val="0"/>
          <c:tx>
            <c:strRef>
              <c:f>Sheet5!$G$5</c:f>
              <c:strCache>
                <c:ptCount val="1"/>
                <c:pt idx="0">
                  <c:v>Total</c:v>
                </c:pt>
              </c:strCache>
            </c:strRef>
          </c:tx>
          <c:dPt>
            <c:idx val="0"/>
            <c:bubble3D val="0"/>
            <c:spPr>
              <a:solidFill>
                <a:srgbClr val="1C2C4C"/>
              </a:solidFill>
              <a:ln w="19050">
                <a:solidFill>
                  <a:schemeClr val="lt1"/>
                </a:solidFill>
              </a:ln>
              <a:effectLst/>
            </c:spPr>
            <c:extLst>
              <c:ext xmlns:c16="http://schemas.microsoft.com/office/drawing/2014/chart" uri="{C3380CC4-5D6E-409C-BE32-E72D297353CC}">
                <c16:uniqueId val="{00000001-B974-4B58-B2EB-0D904B596107}"/>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B974-4B58-B2EB-0D904B5961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74-4B58-B2EB-0D904B596107}"/>
              </c:ext>
            </c:extLst>
          </c:dPt>
          <c:dLbls>
            <c:dLbl>
              <c:idx val="0"/>
              <c:layout>
                <c:manualLayout>
                  <c:x val="-0.26732004740854076"/>
                  <c:y val="3.5342548467986346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105909939143424"/>
                      <c:h val="0.21261257239363981"/>
                    </c:manualLayout>
                  </c15:layout>
                </c:ext>
                <c:ext xmlns:c16="http://schemas.microsoft.com/office/drawing/2014/chart" uri="{C3380CC4-5D6E-409C-BE32-E72D297353CC}">
                  <c16:uniqueId val="{00000001-B974-4B58-B2EB-0D904B596107}"/>
                </c:ext>
              </c:extLst>
            </c:dLbl>
            <c:dLbl>
              <c:idx val="1"/>
              <c:layout>
                <c:manualLayout>
                  <c:x val="0.16089108827062509"/>
                  <c:y val="-0.215685376900924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619379771189492"/>
                      <c:h val="0.17864260884961644"/>
                    </c:manualLayout>
                  </c15:layout>
                </c:ext>
                <c:ext xmlns:c16="http://schemas.microsoft.com/office/drawing/2014/chart" uri="{C3380CC4-5D6E-409C-BE32-E72D297353CC}">
                  <c16:uniqueId val="{00000003-B974-4B58-B2EB-0D904B596107}"/>
                </c:ext>
              </c:extLst>
            </c:dLbl>
            <c:dLbl>
              <c:idx val="2"/>
              <c:layout>
                <c:manualLayout>
                  <c:x val="0.15200513148933417"/>
                  <c:y val="0.1714119464828078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74-4B58-B2EB-0D904B59610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Sheet5!$F$6:$F$9</c:f>
              <c:strCache>
                <c:ptCount val="3"/>
                <c:pt idx="0">
                  <c:v>ذكر</c:v>
                </c:pt>
                <c:pt idx="1">
                  <c:v>شركة</c:v>
                </c:pt>
                <c:pt idx="2">
                  <c:v>أنثى</c:v>
                </c:pt>
              </c:strCache>
            </c:strRef>
          </c:cat>
          <c:val>
            <c:numRef>
              <c:f>Sheet5!$G$6:$G$9</c:f>
              <c:numCache>
                <c:formatCode>0.00%</c:formatCode>
                <c:ptCount val="3"/>
                <c:pt idx="0">
                  <c:v>0.47619047619047616</c:v>
                </c:pt>
                <c:pt idx="1">
                  <c:v>0.30952380952380953</c:v>
                </c:pt>
                <c:pt idx="2">
                  <c:v>0.21428571428571427</c:v>
                </c:pt>
              </c:numCache>
            </c:numRef>
          </c:val>
          <c:extLst>
            <c:ext xmlns:c16="http://schemas.microsoft.com/office/drawing/2014/chart" uri="{C3380CC4-5D6E-409C-BE32-E72D297353CC}">
              <c16:uniqueId val="{00000006-B974-4B58-B2EB-0D904B5961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983878596428873"/>
          <c:y val="0.32515394289017652"/>
          <c:w val="0.16105995935250664"/>
          <c:h val="0.4746170155130849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Advance2.xlsx]Sheet5!PivotTable11</c:name>
    <c:fmtId val="12"/>
  </c:pivotSource>
  <c:chart>
    <c:autoTitleDeleted val="1"/>
    <c:pivotFmts>
      <c:pivotFmt>
        <c:idx val="0"/>
        <c:spPr>
          <a:solidFill>
            <a:srgbClr val="1C2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2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C2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Sheet5!$Y$5</c:f>
              <c:strCache>
                <c:ptCount val="1"/>
                <c:pt idx="0">
                  <c:v>Total</c:v>
                </c:pt>
              </c:strCache>
            </c:strRef>
          </c:tx>
          <c:spPr>
            <a:solidFill>
              <a:srgbClr val="1C2C4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Sheet5!$X$6:$X$13</c:f>
              <c:strCache>
                <c:ptCount val="7"/>
                <c:pt idx="0">
                  <c:v>سرير</c:v>
                </c:pt>
                <c:pt idx="1">
                  <c:v>كنبة</c:v>
                </c:pt>
                <c:pt idx="2">
                  <c:v>ترابيزه</c:v>
                </c:pt>
                <c:pt idx="3">
                  <c:v>ركنه</c:v>
                </c:pt>
                <c:pt idx="4">
                  <c:v>غير معروف</c:v>
                </c:pt>
                <c:pt idx="5">
                  <c:v>فوتيه</c:v>
                </c:pt>
                <c:pt idx="6">
                  <c:v>شيزلونج</c:v>
                </c:pt>
              </c:strCache>
            </c:strRef>
          </c:cat>
          <c:val>
            <c:numRef>
              <c:f>Sheet5!$Y$6:$Y$13</c:f>
              <c:numCache>
                <c:formatCode>_(* #,##0_);_(* \(#,##0\);_(* "-"??_);_(@_)</c:formatCode>
                <c:ptCount val="7"/>
                <c:pt idx="0">
                  <c:v>935192.81544000003</c:v>
                </c:pt>
                <c:pt idx="1">
                  <c:v>164687</c:v>
                </c:pt>
                <c:pt idx="2">
                  <c:v>134108</c:v>
                </c:pt>
                <c:pt idx="3">
                  <c:v>22000</c:v>
                </c:pt>
                <c:pt idx="4">
                  <c:v>16698</c:v>
                </c:pt>
                <c:pt idx="5">
                  <c:v>9300</c:v>
                </c:pt>
              </c:numCache>
            </c:numRef>
          </c:val>
          <c:extLst>
            <c:ext xmlns:c16="http://schemas.microsoft.com/office/drawing/2014/chart" uri="{C3380CC4-5D6E-409C-BE32-E72D297353CC}">
              <c16:uniqueId val="{00000000-9E5A-4720-A431-CD62F4E992BA}"/>
            </c:ext>
          </c:extLst>
        </c:ser>
        <c:dLbls>
          <c:dLblPos val="outEnd"/>
          <c:showLegendKey val="0"/>
          <c:showVal val="1"/>
          <c:showCatName val="0"/>
          <c:showSerName val="0"/>
          <c:showPercent val="0"/>
          <c:showBubbleSize val="0"/>
        </c:dLbls>
        <c:gapWidth val="219"/>
        <c:overlap val="-27"/>
        <c:axId val="779648000"/>
        <c:axId val="779652992"/>
      </c:barChart>
      <c:catAx>
        <c:axId val="77964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779652992"/>
        <c:crosses val="autoZero"/>
        <c:auto val="1"/>
        <c:lblAlgn val="ctr"/>
        <c:lblOffset val="100"/>
        <c:noMultiLvlLbl val="0"/>
      </c:catAx>
      <c:valAx>
        <c:axId val="779652992"/>
        <c:scaling>
          <c:orientation val="minMax"/>
        </c:scaling>
        <c:delete val="1"/>
        <c:axPos val="l"/>
        <c:numFmt formatCode="_(* #,##0_);_(* \(#,##0\);_(* &quot;-&quot;??_);_(@_)" sourceLinked="1"/>
        <c:majorTickMark val="none"/>
        <c:minorTickMark val="none"/>
        <c:tickLblPos val="nextTo"/>
        <c:crossAx val="779648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2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C2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C2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C2C4C"/>
          </a:solidFill>
          <a:ln>
            <a:noFill/>
          </a:ln>
          <a:effectLst/>
        </c:spPr>
        <c:dLbl>
          <c:idx val="0"/>
          <c:layout>
            <c:manualLayout>
              <c:x val="0"/>
              <c:y val="-3.333350645650511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C2C4C"/>
          </a:solidFill>
          <a:ln>
            <a:noFill/>
          </a:ln>
          <a:effectLst/>
        </c:spPr>
        <c:dLbl>
          <c:idx val="0"/>
          <c:layout>
            <c:manualLayout>
              <c:x val="6.4787668424385386E-3"/>
              <c:y val="-7.578677061971178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C2C4C"/>
          </a:solidFill>
          <a:ln>
            <a:noFill/>
          </a:ln>
          <a:effectLst/>
        </c:spPr>
        <c:dLbl>
          <c:idx val="0"/>
          <c:layout>
            <c:manualLayout>
              <c:x val="1.3029318188774142E-2"/>
              <c:y val="-2.857142857142857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214859545653E-3"/>
          <c:y val="5.0925925925925923E-2"/>
          <c:w val="0.97992831994393481"/>
          <c:h val="0.73731153397491977"/>
        </c:manualLayout>
      </c:layout>
      <c:barChart>
        <c:barDir val="col"/>
        <c:grouping val="clustered"/>
        <c:varyColors val="0"/>
        <c:ser>
          <c:idx val="0"/>
          <c:order val="0"/>
          <c:tx>
            <c:strRef>
              <c:f>Sheet5!$L$5</c:f>
              <c:strCache>
                <c:ptCount val="1"/>
                <c:pt idx="0">
                  <c:v>Count of المحافظة</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Sheet5!$K$6:$K$16</c:f>
              <c:strCache>
                <c:ptCount val="10"/>
                <c:pt idx="0">
                  <c:v>القاهرة</c:v>
                </c:pt>
                <c:pt idx="1">
                  <c:v>الجيزة</c:v>
                </c:pt>
                <c:pt idx="2">
                  <c:v>غير معروف</c:v>
                </c:pt>
                <c:pt idx="3">
                  <c:v>(blank)</c:v>
                </c:pt>
                <c:pt idx="4">
                  <c:v>القليوبية</c:v>
                </c:pt>
                <c:pt idx="5">
                  <c:v>السويس</c:v>
                </c:pt>
                <c:pt idx="6">
                  <c:v>الإسكندرية</c:v>
                </c:pt>
                <c:pt idx="7">
                  <c:v>البحر الأحمر</c:v>
                </c:pt>
                <c:pt idx="8">
                  <c:v>مطروح</c:v>
                </c:pt>
                <c:pt idx="9">
                  <c:v>أسيوط</c:v>
                </c:pt>
              </c:strCache>
            </c:strRef>
          </c:cat>
          <c:val>
            <c:numRef>
              <c:f>Sheet5!$L$6:$L$16</c:f>
              <c:numCache>
                <c:formatCode>General</c:formatCode>
                <c:ptCount val="10"/>
                <c:pt idx="0">
                  <c:v>50</c:v>
                </c:pt>
                <c:pt idx="1">
                  <c:v>23</c:v>
                </c:pt>
                <c:pt idx="2">
                  <c:v>15</c:v>
                </c:pt>
                <c:pt idx="4">
                  <c:v>11</c:v>
                </c:pt>
                <c:pt idx="5">
                  <c:v>8</c:v>
                </c:pt>
                <c:pt idx="6">
                  <c:v>5</c:v>
                </c:pt>
                <c:pt idx="7">
                  <c:v>3</c:v>
                </c:pt>
                <c:pt idx="8">
                  <c:v>2</c:v>
                </c:pt>
                <c:pt idx="9">
                  <c:v>1</c:v>
                </c:pt>
              </c:numCache>
            </c:numRef>
          </c:val>
          <c:extLst>
            <c:ext xmlns:c16="http://schemas.microsoft.com/office/drawing/2014/chart" uri="{C3380CC4-5D6E-409C-BE32-E72D297353CC}">
              <c16:uniqueId val="{00000000-6B68-486E-8A8B-FAA8C2039852}"/>
            </c:ext>
          </c:extLst>
        </c:ser>
        <c:ser>
          <c:idx val="1"/>
          <c:order val="1"/>
          <c:tx>
            <c:strRef>
              <c:f>Sheet5!$M$5</c:f>
              <c:strCache>
                <c:ptCount val="1"/>
                <c:pt idx="0">
                  <c:v>Sum of سعر البيع </c:v>
                </c:pt>
              </c:strCache>
            </c:strRef>
          </c:tx>
          <c:spPr>
            <a:solidFill>
              <a:srgbClr val="1C2C4C"/>
            </a:solidFill>
            <a:ln>
              <a:noFill/>
            </a:ln>
            <a:effectLst/>
          </c:spPr>
          <c:invertIfNegative val="0"/>
          <c:dLbls>
            <c:dLbl>
              <c:idx val="7"/>
              <c:layout>
                <c:manualLayout>
                  <c:x val="1.3029318188774142E-2"/>
                  <c:y val="-2.85714285714285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68-486E-8A8B-FAA8C2039852}"/>
                </c:ext>
              </c:extLst>
            </c:dLbl>
            <c:dLbl>
              <c:idx val="8"/>
              <c:layout>
                <c:manualLayout>
                  <c:x val="6.4787668424385386E-3"/>
                  <c:y val="-7.57867706197117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68-486E-8A8B-FAA8C2039852}"/>
                </c:ext>
              </c:extLst>
            </c:dLbl>
            <c:dLbl>
              <c:idx val="9"/>
              <c:layout>
                <c:manualLayout>
                  <c:x val="0"/>
                  <c:y val="-3.33335064565051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68-486E-8A8B-FAA8C203985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Sheet5!$K$6:$K$16</c:f>
              <c:strCache>
                <c:ptCount val="10"/>
                <c:pt idx="0">
                  <c:v>القاهرة</c:v>
                </c:pt>
                <c:pt idx="1">
                  <c:v>الجيزة</c:v>
                </c:pt>
                <c:pt idx="2">
                  <c:v>غير معروف</c:v>
                </c:pt>
                <c:pt idx="3">
                  <c:v>(blank)</c:v>
                </c:pt>
                <c:pt idx="4">
                  <c:v>القليوبية</c:v>
                </c:pt>
                <c:pt idx="5">
                  <c:v>السويس</c:v>
                </c:pt>
                <c:pt idx="6">
                  <c:v>الإسكندرية</c:v>
                </c:pt>
                <c:pt idx="7">
                  <c:v>البحر الأحمر</c:v>
                </c:pt>
                <c:pt idx="8">
                  <c:v>مطروح</c:v>
                </c:pt>
                <c:pt idx="9">
                  <c:v>أسيوط</c:v>
                </c:pt>
              </c:strCache>
            </c:strRef>
          </c:cat>
          <c:val>
            <c:numRef>
              <c:f>Sheet5!$M$6:$M$16</c:f>
              <c:numCache>
                <c:formatCode>_(* #,##0_);_(* \(#,##0\);_(* "-"??_);_(@_)</c:formatCode>
                <c:ptCount val="10"/>
                <c:pt idx="0">
                  <c:v>525555.90999999992</c:v>
                </c:pt>
                <c:pt idx="1">
                  <c:v>245908</c:v>
                </c:pt>
                <c:pt idx="2">
                  <c:v>161493</c:v>
                </c:pt>
                <c:pt idx="3">
                  <c:v>89718</c:v>
                </c:pt>
                <c:pt idx="4">
                  <c:v>63101</c:v>
                </c:pt>
                <c:pt idx="5">
                  <c:v>62520.905440000002</c:v>
                </c:pt>
                <c:pt idx="6">
                  <c:v>54762</c:v>
                </c:pt>
                <c:pt idx="7">
                  <c:v>41640</c:v>
                </c:pt>
                <c:pt idx="8">
                  <c:v>24288</c:v>
                </c:pt>
                <c:pt idx="9">
                  <c:v>12999</c:v>
                </c:pt>
              </c:numCache>
            </c:numRef>
          </c:val>
          <c:extLst>
            <c:ext xmlns:c16="http://schemas.microsoft.com/office/drawing/2014/chart" uri="{C3380CC4-5D6E-409C-BE32-E72D297353CC}">
              <c16:uniqueId val="{00000001-6B68-486E-8A8B-FAA8C2039852}"/>
            </c:ext>
          </c:extLst>
        </c:ser>
        <c:dLbls>
          <c:dLblPos val="outEnd"/>
          <c:showLegendKey val="0"/>
          <c:showVal val="1"/>
          <c:showCatName val="0"/>
          <c:showSerName val="0"/>
          <c:showPercent val="0"/>
          <c:showBubbleSize val="0"/>
        </c:dLbls>
        <c:gapWidth val="219"/>
        <c:overlap val="-27"/>
        <c:axId val="773982320"/>
        <c:axId val="773983568"/>
      </c:barChart>
      <c:catAx>
        <c:axId val="77398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773983568"/>
        <c:crosses val="autoZero"/>
        <c:auto val="1"/>
        <c:lblAlgn val="ctr"/>
        <c:lblOffset val="100"/>
        <c:noMultiLvlLbl val="0"/>
      </c:catAx>
      <c:valAx>
        <c:axId val="773983568"/>
        <c:scaling>
          <c:orientation val="minMax"/>
        </c:scaling>
        <c:delete val="1"/>
        <c:axPos val="l"/>
        <c:numFmt formatCode="General" sourceLinked="1"/>
        <c:majorTickMark val="none"/>
        <c:minorTickMark val="none"/>
        <c:tickLblPos val="nextTo"/>
        <c:crossAx val="773982320"/>
        <c:crosses val="autoZero"/>
        <c:crossBetween val="between"/>
      </c:valAx>
      <c:spPr>
        <a:noFill/>
        <a:ln>
          <a:noFill/>
        </a:ln>
        <a:effectLst/>
      </c:spPr>
    </c:plotArea>
    <c:legend>
      <c:legendPos val="r"/>
      <c:legendEntry>
        <c:idx val="0"/>
        <c:delete val="1"/>
      </c:legendEntry>
      <c:layout>
        <c:manualLayout>
          <c:xMode val="edge"/>
          <c:yMode val="edge"/>
          <c:x val="0.83356176086600964"/>
          <c:y val="0.30005868875520481"/>
          <c:w val="0.16202322886387707"/>
          <c:h val="7.95058273259592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Advance2.xlsx]Sheet5!PivotTable7</c:name>
    <c:fmtId val="2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1C2C4C"/>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1C2C4C"/>
            </a:solidFill>
            <a:round/>
          </a:ln>
          <a:effectLst/>
        </c:spPr>
        <c:marker>
          <c:symbol val="circle"/>
          <c:size val="5"/>
          <c:spPr>
            <a:solidFill>
              <a:schemeClr val="accent2"/>
            </a:solidFill>
            <a:ln w="9525">
              <a:solidFill>
                <a:schemeClr val="accent1"/>
              </a:solidFill>
            </a:ln>
            <a:effectLst/>
          </c:spPr>
        </c:marker>
        <c:dLbl>
          <c:idx val="0"/>
          <c:layout>
            <c:manualLayout>
              <c:x val="-2.8969929622520794E-2"/>
              <c:y val="-8.300127964431491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1C2C4C"/>
            </a:solidFill>
            <a:round/>
          </a:ln>
          <a:effectLst/>
        </c:spPr>
        <c:marker>
          <c:symbol val="circle"/>
          <c:size val="5"/>
          <c:spPr>
            <a:solidFill>
              <a:schemeClr val="accent2"/>
            </a:solidFill>
            <a:ln w="9525">
              <a:solidFill>
                <a:schemeClr val="accent1"/>
              </a:solidFill>
            </a:ln>
            <a:effectLst/>
          </c:spPr>
        </c:marker>
        <c:dLbl>
          <c:idx val="0"/>
          <c:layout>
            <c:manualLayout>
              <c:x val="-8.7114523352527243E-2"/>
              <c:y val="-8.30012796443150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1C2C4C"/>
            </a:solidFill>
            <a:round/>
          </a:ln>
          <a:effectLst/>
        </c:spPr>
        <c:marker>
          <c:symbol val="circle"/>
          <c:size val="5"/>
          <c:spPr>
            <a:solidFill>
              <a:schemeClr val="accent2"/>
            </a:solidFill>
            <a:ln w="9525">
              <a:solidFill>
                <a:schemeClr val="accent1"/>
              </a:solidFill>
            </a:ln>
            <a:effectLst/>
          </c:spPr>
        </c:marker>
        <c:dLbl>
          <c:idx val="0"/>
          <c:layout>
            <c:manualLayout>
              <c:x val="-2.588621719789834E-2"/>
              <c:y val="-7.85051512689027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169303932977664E-2"/>
          <c:y val="2.2802327644987436E-2"/>
          <c:w val="0.95494111623143885"/>
          <c:h val="0.8416746864975212"/>
        </c:manualLayout>
      </c:layout>
      <c:lineChart>
        <c:grouping val="standard"/>
        <c:varyColors val="0"/>
        <c:ser>
          <c:idx val="0"/>
          <c:order val="0"/>
          <c:tx>
            <c:strRef>
              <c:f>Sheet5!$BF$6</c:f>
              <c:strCache>
                <c:ptCount val="1"/>
                <c:pt idx="0">
                  <c:v>Total</c:v>
                </c:pt>
              </c:strCache>
            </c:strRef>
          </c:tx>
          <c:spPr>
            <a:ln w="28575" cap="rnd">
              <a:solidFill>
                <a:srgbClr val="1C2C4C"/>
              </a:solidFill>
              <a:round/>
            </a:ln>
            <a:effectLst/>
          </c:spPr>
          <c:marker>
            <c:symbol val="circle"/>
            <c:size val="5"/>
            <c:spPr>
              <a:solidFill>
                <a:schemeClr val="accent2"/>
              </a:solidFill>
              <a:ln w="9525">
                <a:solidFill>
                  <a:schemeClr val="accent1"/>
                </a:solidFill>
              </a:ln>
              <a:effectLst/>
            </c:spPr>
          </c:marker>
          <c:dLbls>
            <c:dLbl>
              <c:idx val="2"/>
              <c:layout>
                <c:manualLayout>
                  <c:x val="-8.7114523352527243E-2"/>
                  <c:y val="-8.30012796443150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6E-46C8-82F5-51C3B6FE6800}"/>
                </c:ext>
              </c:extLst>
            </c:dLbl>
            <c:dLbl>
              <c:idx val="4"/>
              <c:layout>
                <c:manualLayout>
                  <c:x val="-2.8969929622520794E-2"/>
                  <c:y val="-8.30012796443149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6E-46C8-82F5-51C3B6FE6800}"/>
                </c:ext>
              </c:extLst>
            </c:dLbl>
            <c:dLbl>
              <c:idx val="5"/>
              <c:layout>
                <c:manualLayout>
                  <c:x val="-2.588621719789834E-2"/>
                  <c:y val="-7.8505151268902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6E-46C8-82F5-51C3B6FE680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Sheet5!$BE$7:$BE$14</c:f>
              <c:strCache>
                <c:ptCount val="7"/>
                <c:pt idx="0">
                  <c:v>&lt;7/27/2024</c:v>
                </c:pt>
                <c:pt idx="1">
                  <c:v>Jul</c:v>
                </c:pt>
                <c:pt idx="2">
                  <c:v>Aug</c:v>
                </c:pt>
                <c:pt idx="3">
                  <c:v>Sep</c:v>
                </c:pt>
                <c:pt idx="4">
                  <c:v>Oct</c:v>
                </c:pt>
                <c:pt idx="5">
                  <c:v>Nov</c:v>
                </c:pt>
                <c:pt idx="6">
                  <c:v>Dec</c:v>
                </c:pt>
              </c:strCache>
            </c:strRef>
          </c:cat>
          <c:val>
            <c:numRef>
              <c:f>Sheet5!$BF$7:$BF$14</c:f>
              <c:numCache>
                <c:formatCode>_(* #,##0_);_(* \(#,##0\);_(* "-"??_);_(@_)</c:formatCode>
                <c:ptCount val="7"/>
                <c:pt idx="0">
                  <c:v>16000</c:v>
                </c:pt>
                <c:pt idx="1">
                  <c:v>31775</c:v>
                </c:pt>
                <c:pt idx="2">
                  <c:v>89253</c:v>
                </c:pt>
                <c:pt idx="3">
                  <c:v>670451</c:v>
                </c:pt>
                <c:pt idx="4">
                  <c:v>218827.81544000001</c:v>
                </c:pt>
                <c:pt idx="5">
                  <c:v>184671</c:v>
                </c:pt>
                <c:pt idx="6">
                  <c:v>71008</c:v>
                </c:pt>
              </c:numCache>
            </c:numRef>
          </c:val>
          <c:smooth val="0"/>
          <c:extLst>
            <c:ext xmlns:c16="http://schemas.microsoft.com/office/drawing/2014/chart" uri="{C3380CC4-5D6E-409C-BE32-E72D297353CC}">
              <c16:uniqueId val="{00000000-C36E-46C8-82F5-51C3B6FE6800}"/>
            </c:ext>
          </c:extLst>
        </c:ser>
        <c:dLbls>
          <c:dLblPos val="t"/>
          <c:showLegendKey val="0"/>
          <c:showVal val="1"/>
          <c:showCatName val="0"/>
          <c:showSerName val="0"/>
          <c:showPercent val="0"/>
          <c:showBubbleSize val="0"/>
        </c:dLbls>
        <c:marker val="1"/>
        <c:smooth val="0"/>
        <c:axId val="896931695"/>
        <c:axId val="896927535"/>
      </c:lineChart>
      <c:catAx>
        <c:axId val="89693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96927535"/>
        <c:crosses val="autoZero"/>
        <c:auto val="1"/>
        <c:lblAlgn val="ctr"/>
        <c:lblOffset val="100"/>
        <c:noMultiLvlLbl val="0"/>
      </c:catAx>
      <c:valAx>
        <c:axId val="896927535"/>
        <c:scaling>
          <c:orientation val="minMax"/>
        </c:scaling>
        <c:delete val="1"/>
        <c:axPos val="l"/>
        <c:numFmt formatCode="_(* #,##0_);_(* \(#,##0\);_(* &quot;-&quot;??_);_(@_)" sourceLinked="1"/>
        <c:majorTickMark val="none"/>
        <c:minorTickMark val="none"/>
        <c:tickLblPos val="nextTo"/>
        <c:crossAx val="896931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2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C2C4C"/>
          </a:solidFill>
          <a:ln>
            <a:noFill/>
          </a:ln>
          <a:effectLst/>
        </c:spPr>
      </c:pivotFmt>
      <c:pivotFmt>
        <c:idx val="3"/>
        <c:spPr>
          <a:solidFill>
            <a:srgbClr val="1C2C4C"/>
          </a:solidFill>
          <a:ln>
            <a:noFill/>
          </a:ln>
          <a:effectLst/>
        </c:spPr>
        <c:dLbl>
          <c:idx val="0"/>
          <c:layout>
            <c:manualLayout>
              <c:x val="5.2700911331545657E-3"/>
              <c:y val="-2.16362453107271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61262630841943"/>
                  <c:h val="0.10269124226120911"/>
                </c:manualLayout>
              </c15:layout>
            </c:ext>
          </c:extLst>
        </c:dLbl>
      </c:pivotFmt>
      <c:pivotFmt>
        <c:idx val="4"/>
        <c:spPr>
          <a:solidFill>
            <a:srgbClr val="1C2C4C"/>
          </a:solidFill>
          <a:ln>
            <a:noFill/>
          </a:ln>
          <a:effectLst/>
        </c:spPr>
        <c:dLbl>
          <c:idx val="0"/>
          <c:layout>
            <c:manualLayout>
              <c:x val="1.8445318966041319E-2"/>
              <c:y val="-5.9499674604499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C2C4C"/>
          </a:solidFill>
          <a:ln>
            <a:noFill/>
          </a:ln>
          <a:effectLst/>
        </c:spPr>
        <c:dLbl>
          <c:idx val="0"/>
          <c:layout>
            <c:manualLayout>
              <c:x val="2.635045566577138E-3"/>
              <c:y val="-2.704509368323845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5151499558785487E-2"/>
                  <c:h val="0.12432748757193623"/>
                </c:manualLayout>
              </c15:layout>
            </c:ext>
          </c:extLst>
        </c:dLbl>
      </c:pivotFmt>
      <c:pivotFmt>
        <c:idx val="6"/>
        <c:spPr>
          <a:solidFill>
            <a:srgbClr val="1C2C4C"/>
          </a:solidFill>
          <a:ln>
            <a:noFill/>
          </a:ln>
          <a:effectLst/>
        </c:spPr>
        <c:dLbl>
          <c:idx val="0"/>
          <c:layout>
            <c:manualLayout>
              <c:x val="2.635045566577331E-3"/>
              <c:y val="-8.6544981242908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C2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C2C4C"/>
          </a:solidFill>
          <a:ln>
            <a:noFill/>
          </a:ln>
          <a:effectLst/>
        </c:spPr>
        <c:dLbl>
          <c:idx val="0"/>
          <c:layout>
            <c:manualLayout>
              <c:x val="5.2700911331545657E-3"/>
              <c:y val="-2.16362453107271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61262630841943"/>
                  <c:h val="0.10269124226120911"/>
                </c:manualLayout>
              </c15:layout>
            </c:ext>
          </c:extLst>
        </c:dLbl>
      </c:pivotFmt>
      <c:pivotFmt>
        <c:idx val="10"/>
        <c:spPr>
          <a:solidFill>
            <a:srgbClr val="1C2C4C"/>
          </a:solidFill>
          <a:ln>
            <a:noFill/>
          </a:ln>
          <a:effectLst/>
        </c:spPr>
        <c:dLbl>
          <c:idx val="0"/>
          <c:layout>
            <c:manualLayout>
              <c:x val="1.8445318966041319E-2"/>
              <c:y val="-5.9499674604499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C2C4C"/>
          </a:solidFill>
          <a:ln>
            <a:noFill/>
          </a:ln>
          <a:effectLst/>
        </c:spPr>
        <c:dLbl>
          <c:idx val="0"/>
          <c:layout>
            <c:manualLayout>
              <c:x val="2.635045566577138E-3"/>
              <c:y val="-2.704509368323845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5151499558785487E-2"/>
                  <c:h val="0.12432748757193623"/>
                </c:manualLayout>
              </c15:layout>
            </c:ext>
          </c:extLst>
        </c:dLbl>
      </c:pivotFmt>
      <c:pivotFmt>
        <c:idx val="12"/>
        <c:spPr>
          <a:solidFill>
            <a:srgbClr val="1C2C4C"/>
          </a:solidFill>
          <a:ln>
            <a:noFill/>
          </a:ln>
          <a:effectLst/>
        </c:spPr>
        <c:dLbl>
          <c:idx val="0"/>
          <c:layout>
            <c:manualLayout>
              <c:x val="2.635045566577331E-3"/>
              <c:y val="-8.6544981242908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C2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1C2C4C"/>
          </a:solidFill>
          <a:ln>
            <a:noFill/>
          </a:ln>
          <a:effectLst/>
        </c:spPr>
        <c:dLbl>
          <c:idx val="0"/>
          <c:layout>
            <c:manualLayout>
              <c:x val="1.5448297970387289E-2"/>
              <c:y val="-3.2454367966090823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141411712848871"/>
                  <c:h val="0.10269124226120911"/>
                </c:manualLayout>
              </c15:layout>
            </c:ext>
          </c:extLst>
        </c:dLbl>
      </c:pivotFmt>
      <c:pivotFmt>
        <c:idx val="16"/>
        <c:spPr>
          <a:solidFill>
            <a:srgbClr val="1C2C4C"/>
          </a:solidFill>
          <a:ln>
            <a:noFill/>
          </a:ln>
          <a:effectLst/>
        </c:spPr>
        <c:dLbl>
          <c:idx val="0"/>
          <c:layout>
            <c:manualLayout>
              <c:x val="1.8445318966041319E-2"/>
              <c:y val="-5.949967460449965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1C2C4C"/>
          </a:solidFill>
          <a:ln>
            <a:noFill/>
          </a:ln>
          <a:effectLst/>
        </c:spPr>
        <c:dLbl>
          <c:idx val="0"/>
          <c:layout>
            <c:manualLayout>
              <c:x val="1.6630001402496444E-2"/>
              <c:y val="-2.1636032355556768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858668429805054"/>
                  <c:h val="0.12432748757193623"/>
                </c:manualLayout>
              </c15:layout>
            </c:ext>
          </c:extLst>
        </c:dLbl>
      </c:pivotFmt>
      <c:pivotFmt>
        <c:idx val="18"/>
        <c:spPr>
          <a:solidFill>
            <a:srgbClr val="1C2C4C"/>
          </a:solidFill>
          <a:ln>
            <a:noFill/>
          </a:ln>
          <a:effectLst/>
        </c:spPr>
        <c:dLbl>
          <c:idx val="0"/>
          <c:layout>
            <c:manualLayout>
              <c:x val="2.635045566577331E-3"/>
              <c:y val="-8.654498124290858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74822907301795E-2"/>
          <c:y val="3.7037163232693557E-2"/>
          <c:w val="0.9504504504504504"/>
          <c:h val="0.84463764946048414"/>
        </c:manualLayout>
      </c:layout>
      <c:barChart>
        <c:barDir val="col"/>
        <c:grouping val="clustered"/>
        <c:varyColors val="0"/>
        <c:ser>
          <c:idx val="0"/>
          <c:order val="0"/>
          <c:tx>
            <c:strRef>
              <c:f>Sheet5!$R$5</c:f>
              <c:strCache>
                <c:ptCount val="1"/>
                <c:pt idx="0">
                  <c:v>Count of نوع الافراد</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Sheet5!$Q$6:$Q$14</c:f>
              <c:strCache>
                <c:ptCount val="8"/>
                <c:pt idx="0">
                  <c:v>هومزمارت</c:v>
                </c:pt>
                <c:pt idx="1">
                  <c:v>شيك هومز</c:v>
                </c:pt>
                <c:pt idx="2">
                  <c:v>تاكى</c:v>
                </c:pt>
                <c:pt idx="3">
                  <c:v>اوسكار ريتن </c:v>
                </c:pt>
                <c:pt idx="4">
                  <c:v>فيس بوك</c:v>
                </c:pt>
                <c:pt idx="5">
                  <c:v>السويس</c:v>
                </c:pt>
                <c:pt idx="6">
                  <c:v>منزلى</c:v>
                </c:pt>
                <c:pt idx="7">
                  <c:v>كيمت </c:v>
                </c:pt>
              </c:strCache>
            </c:strRef>
          </c:cat>
          <c:val>
            <c:numRef>
              <c:f>Sheet5!$R$6:$R$14</c:f>
              <c:numCache>
                <c:formatCode>General</c:formatCode>
                <c:ptCount val="8"/>
                <c:pt idx="0">
                  <c:v>78</c:v>
                </c:pt>
                <c:pt idx="1">
                  <c:v>16</c:v>
                </c:pt>
                <c:pt idx="2">
                  <c:v>9</c:v>
                </c:pt>
                <c:pt idx="3">
                  <c:v>13</c:v>
                </c:pt>
                <c:pt idx="4">
                  <c:v>3</c:v>
                </c:pt>
                <c:pt idx="5">
                  <c:v>4</c:v>
                </c:pt>
                <c:pt idx="6">
                  <c:v>2</c:v>
                </c:pt>
                <c:pt idx="7">
                  <c:v>1</c:v>
                </c:pt>
              </c:numCache>
            </c:numRef>
          </c:val>
          <c:extLst>
            <c:ext xmlns:c16="http://schemas.microsoft.com/office/drawing/2014/chart" uri="{C3380CC4-5D6E-409C-BE32-E72D297353CC}">
              <c16:uniqueId val="{00000000-4E66-4FC2-B7F8-BCD1B97B5755}"/>
            </c:ext>
          </c:extLst>
        </c:ser>
        <c:ser>
          <c:idx val="1"/>
          <c:order val="1"/>
          <c:tx>
            <c:strRef>
              <c:f>Sheet5!$S$5</c:f>
              <c:strCache>
                <c:ptCount val="1"/>
                <c:pt idx="0">
                  <c:v>Sum of سعر البيع </c:v>
                </c:pt>
              </c:strCache>
            </c:strRef>
          </c:tx>
          <c:spPr>
            <a:solidFill>
              <a:srgbClr val="1C2C4C"/>
            </a:solidFill>
            <a:ln>
              <a:noFill/>
            </a:ln>
            <a:effectLst/>
          </c:spPr>
          <c:invertIfNegative val="0"/>
          <c:dPt>
            <c:idx val="4"/>
            <c:invertIfNegative val="0"/>
            <c:bubble3D val="0"/>
            <c:spPr>
              <a:solidFill>
                <a:srgbClr val="1C2C4C"/>
              </a:solidFill>
              <a:ln>
                <a:noFill/>
              </a:ln>
              <a:effectLst/>
            </c:spPr>
            <c:extLst>
              <c:ext xmlns:c16="http://schemas.microsoft.com/office/drawing/2014/chart" uri="{C3380CC4-5D6E-409C-BE32-E72D297353CC}">
                <c16:uniqueId val="{00000002-4E66-4FC2-B7F8-BCD1B97B5755}"/>
              </c:ext>
            </c:extLst>
          </c:dPt>
          <c:dPt>
            <c:idx val="5"/>
            <c:invertIfNegative val="0"/>
            <c:bubble3D val="0"/>
            <c:spPr>
              <a:solidFill>
                <a:srgbClr val="1C2C4C"/>
              </a:solidFill>
              <a:ln>
                <a:noFill/>
              </a:ln>
              <a:effectLst/>
            </c:spPr>
            <c:extLst>
              <c:ext xmlns:c16="http://schemas.microsoft.com/office/drawing/2014/chart" uri="{C3380CC4-5D6E-409C-BE32-E72D297353CC}">
                <c16:uniqueId val="{00000004-4E66-4FC2-B7F8-BCD1B97B5755}"/>
              </c:ext>
            </c:extLst>
          </c:dPt>
          <c:dPt>
            <c:idx val="6"/>
            <c:invertIfNegative val="0"/>
            <c:bubble3D val="0"/>
            <c:spPr>
              <a:solidFill>
                <a:srgbClr val="1C2C4C"/>
              </a:solidFill>
              <a:ln>
                <a:noFill/>
              </a:ln>
              <a:effectLst/>
            </c:spPr>
            <c:extLst>
              <c:ext xmlns:c16="http://schemas.microsoft.com/office/drawing/2014/chart" uri="{C3380CC4-5D6E-409C-BE32-E72D297353CC}">
                <c16:uniqueId val="{00000006-4E66-4FC2-B7F8-BCD1B97B5755}"/>
              </c:ext>
            </c:extLst>
          </c:dPt>
          <c:dPt>
            <c:idx val="7"/>
            <c:invertIfNegative val="0"/>
            <c:bubble3D val="0"/>
            <c:spPr>
              <a:solidFill>
                <a:srgbClr val="1C2C4C"/>
              </a:solidFill>
              <a:ln>
                <a:noFill/>
              </a:ln>
              <a:effectLst/>
            </c:spPr>
            <c:extLst>
              <c:ext xmlns:c16="http://schemas.microsoft.com/office/drawing/2014/chart" uri="{C3380CC4-5D6E-409C-BE32-E72D297353CC}">
                <c16:uniqueId val="{00000008-4E66-4FC2-B7F8-BCD1B97B5755}"/>
              </c:ext>
            </c:extLst>
          </c:dPt>
          <c:dLbls>
            <c:dLbl>
              <c:idx val="4"/>
              <c:layout>
                <c:manualLayout>
                  <c:x val="1.5448297970387289E-2"/>
                  <c:y val="-3.2454367966090823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141411712848871"/>
                      <c:h val="0.10269124226120911"/>
                    </c:manualLayout>
                  </c15:layout>
                </c:ext>
                <c:ext xmlns:c16="http://schemas.microsoft.com/office/drawing/2014/chart" uri="{C3380CC4-5D6E-409C-BE32-E72D297353CC}">
                  <c16:uniqueId val="{00000002-4E66-4FC2-B7F8-BCD1B97B5755}"/>
                </c:ext>
              </c:extLst>
            </c:dLbl>
            <c:dLbl>
              <c:idx val="5"/>
              <c:layout>
                <c:manualLayout>
                  <c:x val="1.8445318966041319E-2"/>
                  <c:y val="-5.94996746044996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66-4FC2-B7F8-BCD1B97B5755}"/>
                </c:ext>
              </c:extLst>
            </c:dLbl>
            <c:dLbl>
              <c:idx val="6"/>
              <c:layout>
                <c:manualLayout>
                  <c:x val="1.6630001402496444E-2"/>
                  <c:y val="-2.1636032355556768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858668429805054"/>
                      <c:h val="0.12432748757193623"/>
                    </c:manualLayout>
                  </c15:layout>
                </c:ext>
                <c:ext xmlns:c16="http://schemas.microsoft.com/office/drawing/2014/chart" uri="{C3380CC4-5D6E-409C-BE32-E72D297353CC}">
                  <c16:uniqueId val="{00000006-4E66-4FC2-B7F8-BCD1B97B5755}"/>
                </c:ext>
              </c:extLst>
            </c:dLbl>
            <c:dLbl>
              <c:idx val="7"/>
              <c:layout>
                <c:manualLayout>
                  <c:x val="2.635045566577331E-3"/>
                  <c:y val="-8.65449812429085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E66-4FC2-B7F8-BCD1B97B575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Sheet5!$Q$6:$Q$14</c:f>
              <c:strCache>
                <c:ptCount val="8"/>
                <c:pt idx="0">
                  <c:v>هومزمارت</c:v>
                </c:pt>
                <c:pt idx="1">
                  <c:v>شيك هومز</c:v>
                </c:pt>
                <c:pt idx="2">
                  <c:v>تاكى</c:v>
                </c:pt>
                <c:pt idx="3">
                  <c:v>اوسكار ريتن </c:v>
                </c:pt>
                <c:pt idx="4">
                  <c:v>فيس بوك</c:v>
                </c:pt>
                <c:pt idx="5">
                  <c:v>السويس</c:v>
                </c:pt>
                <c:pt idx="6">
                  <c:v>منزلى</c:v>
                </c:pt>
                <c:pt idx="7">
                  <c:v>كيمت </c:v>
                </c:pt>
              </c:strCache>
            </c:strRef>
          </c:cat>
          <c:val>
            <c:numRef>
              <c:f>Sheet5!$S$6:$S$14</c:f>
              <c:numCache>
                <c:formatCode>_(* #,##0_);_(* \(#,##0\);_(* "-"??_);_(@_)</c:formatCode>
                <c:ptCount val="8"/>
                <c:pt idx="0">
                  <c:v>868668</c:v>
                </c:pt>
                <c:pt idx="1">
                  <c:v>194340</c:v>
                </c:pt>
                <c:pt idx="2">
                  <c:v>82900</c:v>
                </c:pt>
                <c:pt idx="3">
                  <c:v>68731.91</c:v>
                </c:pt>
                <c:pt idx="4">
                  <c:v>27150</c:v>
                </c:pt>
                <c:pt idx="5">
                  <c:v>23144.905440000002</c:v>
                </c:pt>
                <c:pt idx="6">
                  <c:v>9655</c:v>
                </c:pt>
                <c:pt idx="7">
                  <c:v>7396</c:v>
                </c:pt>
              </c:numCache>
            </c:numRef>
          </c:val>
          <c:extLst>
            <c:ext xmlns:c16="http://schemas.microsoft.com/office/drawing/2014/chart" uri="{C3380CC4-5D6E-409C-BE32-E72D297353CC}">
              <c16:uniqueId val="{00000009-4E66-4FC2-B7F8-BCD1B97B5755}"/>
            </c:ext>
          </c:extLst>
        </c:ser>
        <c:dLbls>
          <c:dLblPos val="outEnd"/>
          <c:showLegendKey val="0"/>
          <c:showVal val="1"/>
          <c:showCatName val="0"/>
          <c:showSerName val="0"/>
          <c:showPercent val="0"/>
          <c:showBubbleSize val="0"/>
        </c:dLbls>
        <c:gapWidth val="219"/>
        <c:overlap val="-27"/>
        <c:axId val="428930256"/>
        <c:axId val="428931088"/>
      </c:barChart>
      <c:catAx>
        <c:axId val="428930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428931088"/>
        <c:crosses val="autoZero"/>
        <c:auto val="1"/>
        <c:lblAlgn val="ctr"/>
        <c:lblOffset val="100"/>
        <c:noMultiLvlLbl val="0"/>
      </c:catAx>
      <c:valAx>
        <c:axId val="428931088"/>
        <c:scaling>
          <c:orientation val="minMax"/>
        </c:scaling>
        <c:delete val="1"/>
        <c:axPos val="l"/>
        <c:numFmt formatCode="General" sourceLinked="1"/>
        <c:majorTickMark val="out"/>
        <c:minorTickMark val="none"/>
        <c:tickLblPos val="nextTo"/>
        <c:crossAx val="428930256"/>
        <c:crosses val="autoZero"/>
        <c:crossBetween val="between"/>
      </c:valAx>
      <c:spPr>
        <a:noFill/>
        <a:ln>
          <a:noFill/>
        </a:ln>
        <a:effectLst/>
      </c:spPr>
    </c:plotArea>
    <c:legend>
      <c:legendPos val="r"/>
      <c:layout>
        <c:manualLayout>
          <c:xMode val="edge"/>
          <c:yMode val="edge"/>
          <c:x val="0.79283324317284765"/>
          <c:y val="0.23022242741635968"/>
          <c:w val="0.20716675682715233"/>
          <c:h val="0.182557097540282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Advance2.xlsx]Sheet5!PivotTable17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C2C4C"/>
          </a:solidFill>
          <a:ln>
            <a:noFill/>
          </a:ln>
          <a:effectLst/>
        </c:spPr>
      </c:pivotFmt>
      <c:pivotFmt>
        <c:idx val="4"/>
        <c:spPr>
          <a:solidFill>
            <a:srgbClr val="1C2C4C"/>
          </a:solidFill>
          <a:ln>
            <a:noFill/>
          </a:ln>
          <a:effectLst/>
        </c:spPr>
      </c:pivotFmt>
      <c:pivotFmt>
        <c:idx val="5"/>
        <c:spPr>
          <a:solidFill>
            <a:srgbClr val="1C2C4C"/>
          </a:solidFill>
          <a:ln>
            <a:noFill/>
          </a:ln>
          <a:effectLst/>
        </c:spPr>
      </c:pivotFmt>
      <c:pivotFmt>
        <c:idx val="6"/>
        <c:spPr>
          <a:solidFill>
            <a:srgbClr val="1C2C4C"/>
          </a:solidFill>
          <a:ln>
            <a:noFill/>
          </a:ln>
          <a:effectLst/>
        </c:spPr>
      </c:pivotFmt>
    </c:pivotFmts>
    <c:plotArea>
      <c:layout>
        <c:manualLayout>
          <c:layoutTarget val="inner"/>
          <c:xMode val="edge"/>
          <c:yMode val="edge"/>
          <c:x val="3.8903618060400678E-2"/>
          <c:y val="5.198181700599469E-2"/>
          <c:w val="0.92219274977895671"/>
          <c:h val="0.82555802685208757"/>
        </c:manualLayout>
      </c:layout>
      <c:barChart>
        <c:barDir val="col"/>
        <c:grouping val="clustered"/>
        <c:varyColors val="0"/>
        <c:ser>
          <c:idx val="0"/>
          <c:order val="0"/>
          <c:tx>
            <c:strRef>
              <c:f>Sheet5!$AX$6</c:f>
              <c:strCache>
                <c:ptCount val="1"/>
                <c:pt idx="0">
                  <c:v>Total</c:v>
                </c:pt>
              </c:strCache>
            </c:strRef>
          </c:tx>
          <c:spPr>
            <a:solidFill>
              <a:schemeClr val="accent1"/>
            </a:solidFill>
            <a:ln>
              <a:noFill/>
            </a:ln>
            <a:effectLst/>
          </c:spPr>
          <c:invertIfNegative val="0"/>
          <c:dPt>
            <c:idx val="0"/>
            <c:invertIfNegative val="0"/>
            <c:bubble3D val="0"/>
            <c:spPr>
              <a:solidFill>
                <a:srgbClr val="1C2C4C"/>
              </a:solidFill>
              <a:ln>
                <a:noFill/>
              </a:ln>
              <a:effectLst/>
            </c:spPr>
            <c:extLst>
              <c:ext xmlns:c16="http://schemas.microsoft.com/office/drawing/2014/chart" uri="{C3380CC4-5D6E-409C-BE32-E72D297353CC}">
                <c16:uniqueId val="{00000002-E869-4CCF-A227-7A3AA0A7D95A}"/>
              </c:ext>
            </c:extLst>
          </c:dPt>
          <c:dPt>
            <c:idx val="1"/>
            <c:invertIfNegative val="0"/>
            <c:bubble3D val="0"/>
            <c:spPr>
              <a:solidFill>
                <a:srgbClr val="1C2C4C"/>
              </a:solidFill>
              <a:ln>
                <a:noFill/>
              </a:ln>
              <a:effectLst/>
            </c:spPr>
            <c:extLst>
              <c:ext xmlns:c16="http://schemas.microsoft.com/office/drawing/2014/chart" uri="{C3380CC4-5D6E-409C-BE32-E72D297353CC}">
                <c16:uniqueId val="{00000004-E869-4CCF-A227-7A3AA0A7D95A}"/>
              </c:ext>
            </c:extLst>
          </c:dPt>
          <c:dPt>
            <c:idx val="2"/>
            <c:invertIfNegative val="0"/>
            <c:bubble3D val="0"/>
            <c:spPr>
              <a:solidFill>
                <a:srgbClr val="1C2C4C"/>
              </a:solidFill>
              <a:ln>
                <a:noFill/>
              </a:ln>
              <a:effectLst/>
            </c:spPr>
            <c:extLst>
              <c:ext xmlns:c16="http://schemas.microsoft.com/office/drawing/2014/chart" uri="{C3380CC4-5D6E-409C-BE32-E72D297353CC}">
                <c16:uniqueId val="{00000003-E869-4CCF-A227-7A3AA0A7D95A}"/>
              </c:ext>
            </c:extLst>
          </c:dPt>
          <c:dPt>
            <c:idx val="3"/>
            <c:invertIfNegative val="0"/>
            <c:bubble3D val="0"/>
            <c:spPr>
              <a:solidFill>
                <a:srgbClr val="1C2C4C"/>
              </a:solidFill>
              <a:ln>
                <a:noFill/>
              </a:ln>
              <a:effectLst/>
            </c:spPr>
            <c:extLst>
              <c:ext xmlns:c16="http://schemas.microsoft.com/office/drawing/2014/chart" uri="{C3380CC4-5D6E-409C-BE32-E72D297353CC}">
                <c16:uniqueId val="{00000005-E869-4CCF-A227-7A3AA0A7D95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Sheet5!$AW$7:$AW$11</c:f>
              <c:strCache>
                <c:ptCount val="4"/>
                <c:pt idx="0">
                  <c:v>تم التسليم</c:v>
                </c:pt>
                <c:pt idx="1">
                  <c:v>فشل التسليم</c:v>
                </c:pt>
                <c:pt idx="2">
                  <c:v>لغي</c:v>
                </c:pt>
                <c:pt idx="3">
                  <c:v>مرتجع</c:v>
                </c:pt>
              </c:strCache>
            </c:strRef>
          </c:cat>
          <c:val>
            <c:numRef>
              <c:f>Sheet5!$AX$7:$AX$11</c:f>
              <c:numCache>
                <c:formatCode>_(* #,##0_);_(* \(#,##0\);_(* "-"??_);_(@_)</c:formatCode>
                <c:ptCount val="4"/>
                <c:pt idx="0">
                  <c:v>102</c:v>
                </c:pt>
                <c:pt idx="1">
                  <c:v>3</c:v>
                </c:pt>
                <c:pt idx="2">
                  <c:v>20</c:v>
                </c:pt>
                <c:pt idx="3">
                  <c:v>1</c:v>
                </c:pt>
              </c:numCache>
            </c:numRef>
          </c:val>
          <c:extLst>
            <c:ext xmlns:c16="http://schemas.microsoft.com/office/drawing/2014/chart" uri="{C3380CC4-5D6E-409C-BE32-E72D297353CC}">
              <c16:uniqueId val="{00000000-E869-4CCF-A227-7A3AA0A7D95A}"/>
            </c:ext>
          </c:extLst>
        </c:ser>
        <c:dLbls>
          <c:dLblPos val="outEnd"/>
          <c:showLegendKey val="0"/>
          <c:showVal val="1"/>
          <c:showCatName val="0"/>
          <c:showSerName val="0"/>
          <c:showPercent val="0"/>
          <c:showBubbleSize val="0"/>
        </c:dLbls>
        <c:gapWidth val="219"/>
        <c:overlap val="-27"/>
        <c:axId val="511175472"/>
        <c:axId val="511180880"/>
      </c:barChart>
      <c:catAx>
        <c:axId val="511175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511180880"/>
        <c:crosses val="autoZero"/>
        <c:auto val="1"/>
        <c:lblAlgn val="ctr"/>
        <c:lblOffset val="100"/>
        <c:noMultiLvlLbl val="0"/>
      </c:catAx>
      <c:valAx>
        <c:axId val="511180880"/>
        <c:scaling>
          <c:orientation val="minMax"/>
        </c:scaling>
        <c:delete val="1"/>
        <c:axPos val="l"/>
        <c:numFmt formatCode="_(* #,##0_);_(* \(#,##0\);_(* &quot;-&quot;??_);_(@_)" sourceLinked="1"/>
        <c:majorTickMark val="out"/>
        <c:minorTickMark val="none"/>
        <c:tickLblPos val="nextTo"/>
        <c:crossAx val="51117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90487</xdr:rowOff>
    </xdr:from>
    <xdr:to>
      <xdr:col>3</xdr:col>
      <xdr:colOff>142875</xdr:colOff>
      <xdr:row>24</xdr:row>
      <xdr:rowOff>66675</xdr:rowOff>
    </xdr:to>
    <xdr:graphicFrame macro="">
      <xdr:nvGraphicFramePr>
        <xdr:cNvPr id="3" name="Chart 2">
          <a:extLst>
            <a:ext uri="{FF2B5EF4-FFF2-40B4-BE49-F238E27FC236}">
              <a16:creationId xmlns:a16="http://schemas.microsoft.com/office/drawing/2014/main" id="{FF08090F-F0BF-4DF7-B984-A1CECCFA1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66676</xdr:colOff>
      <xdr:row>10</xdr:row>
      <xdr:rowOff>100012</xdr:rowOff>
    </xdr:from>
    <xdr:to>
      <xdr:col>8</xdr:col>
      <xdr:colOff>247650</xdr:colOff>
      <xdr:row>24</xdr:row>
      <xdr:rowOff>76200</xdr:rowOff>
    </xdr:to>
    <xdr:graphicFrame macro="">
      <xdr:nvGraphicFramePr>
        <xdr:cNvPr id="5" name="Chart 4">
          <a:extLst>
            <a:ext uri="{FF2B5EF4-FFF2-40B4-BE49-F238E27FC236}">
              <a16:creationId xmlns:a16="http://schemas.microsoft.com/office/drawing/2014/main" id="{E41924E0-4854-450F-BDD7-99BD368D1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76199</xdr:colOff>
      <xdr:row>16</xdr:row>
      <xdr:rowOff>138112</xdr:rowOff>
    </xdr:from>
    <xdr:to>
      <xdr:col>14</xdr:col>
      <xdr:colOff>571500</xdr:colOff>
      <xdr:row>31</xdr:row>
      <xdr:rowOff>23812</xdr:rowOff>
    </xdr:to>
    <xdr:graphicFrame macro="">
      <xdr:nvGraphicFramePr>
        <xdr:cNvPr id="7" name="Chart 6">
          <a:extLst>
            <a:ext uri="{FF2B5EF4-FFF2-40B4-BE49-F238E27FC236}">
              <a16:creationId xmlns:a16="http://schemas.microsoft.com/office/drawing/2014/main" id="{61AF57C4-B9CF-4B18-83B5-D5C98D5BD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28574</xdr:colOff>
      <xdr:row>16</xdr:row>
      <xdr:rowOff>95250</xdr:rowOff>
    </xdr:from>
    <xdr:to>
      <xdr:col>21</xdr:col>
      <xdr:colOff>600075</xdr:colOff>
      <xdr:row>28</xdr:row>
      <xdr:rowOff>157162</xdr:rowOff>
    </xdr:to>
    <xdr:graphicFrame macro="">
      <xdr:nvGraphicFramePr>
        <xdr:cNvPr id="8" name="Chart 7">
          <a:extLst>
            <a:ext uri="{FF2B5EF4-FFF2-40B4-BE49-F238E27FC236}">
              <a16:creationId xmlns:a16="http://schemas.microsoft.com/office/drawing/2014/main" id="{D64FAD26-AE70-4507-A2F9-4D14FAA65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38101</xdr:colOff>
      <xdr:row>14</xdr:row>
      <xdr:rowOff>147637</xdr:rowOff>
    </xdr:from>
    <xdr:to>
      <xdr:col>28</xdr:col>
      <xdr:colOff>581025</xdr:colOff>
      <xdr:row>29</xdr:row>
      <xdr:rowOff>33337</xdr:rowOff>
    </xdr:to>
    <xdr:graphicFrame macro="">
      <xdr:nvGraphicFramePr>
        <xdr:cNvPr id="9" name="Chart 8">
          <a:extLst>
            <a:ext uri="{FF2B5EF4-FFF2-40B4-BE49-F238E27FC236}">
              <a16:creationId xmlns:a16="http://schemas.microsoft.com/office/drawing/2014/main" id="{F3A8F5AE-CE9E-4F3B-A4AC-E7C9B705E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66674</xdr:colOff>
      <xdr:row>27</xdr:row>
      <xdr:rowOff>157162</xdr:rowOff>
    </xdr:from>
    <xdr:to>
      <xdr:col>37</xdr:col>
      <xdr:colOff>266699</xdr:colOff>
      <xdr:row>42</xdr:row>
      <xdr:rowOff>42862</xdr:rowOff>
    </xdr:to>
    <xdr:graphicFrame macro="">
      <xdr:nvGraphicFramePr>
        <xdr:cNvPr id="10" name="Chart 9">
          <a:extLst>
            <a:ext uri="{FF2B5EF4-FFF2-40B4-BE49-F238E27FC236}">
              <a16:creationId xmlns:a16="http://schemas.microsoft.com/office/drawing/2014/main" id="{8D3507C1-CA08-43CA-824C-6FD2E6AD8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47625</xdr:colOff>
      <xdr:row>15</xdr:row>
      <xdr:rowOff>0</xdr:rowOff>
    </xdr:from>
    <xdr:to>
      <xdr:col>46</xdr:col>
      <xdr:colOff>47625</xdr:colOff>
      <xdr:row>31</xdr:row>
      <xdr:rowOff>119062</xdr:rowOff>
    </xdr:to>
    <xdr:graphicFrame macro="">
      <xdr:nvGraphicFramePr>
        <xdr:cNvPr id="11" name="Chart 10">
          <a:extLst>
            <a:ext uri="{FF2B5EF4-FFF2-40B4-BE49-F238E27FC236}">
              <a16:creationId xmlns:a16="http://schemas.microsoft.com/office/drawing/2014/main" id="{B6543142-AFCF-441A-AF2F-3A7EFD633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48</xdr:col>
      <xdr:colOff>19051</xdr:colOff>
      <xdr:row>14</xdr:row>
      <xdr:rowOff>161925</xdr:rowOff>
    </xdr:from>
    <xdr:to>
      <xdr:col>50</xdr:col>
      <xdr:colOff>1247776</xdr:colOff>
      <xdr:row>27</xdr:row>
      <xdr:rowOff>128587</xdr:rowOff>
    </xdr:to>
    <xdr:graphicFrame macro="">
      <xdr:nvGraphicFramePr>
        <xdr:cNvPr id="12" name="Chart 11">
          <a:extLst>
            <a:ext uri="{FF2B5EF4-FFF2-40B4-BE49-F238E27FC236}">
              <a16:creationId xmlns:a16="http://schemas.microsoft.com/office/drawing/2014/main" id="{B62AE2B8-5F81-4FFC-BCA1-7C6E788FA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56</xdr:col>
      <xdr:colOff>19051</xdr:colOff>
      <xdr:row>14</xdr:row>
      <xdr:rowOff>95250</xdr:rowOff>
    </xdr:from>
    <xdr:to>
      <xdr:col>65</xdr:col>
      <xdr:colOff>1</xdr:colOff>
      <xdr:row>28</xdr:row>
      <xdr:rowOff>171450</xdr:rowOff>
    </xdr:to>
    <xdr:graphicFrame macro="">
      <xdr:nvGraphicFramePr>
        <xdr:cNvPr id="15" name="Chart 14">
          <a:extLst>
            <a:ext uri="{FF2B5EF4-FFF2-40B4-BE49-F238E27FC236}">
              <a16:creationId xmlns:a16="http://schemas.microsoft.com/office/drawing/2014/main" id="{67F1AD06-BF71-4489-AEEB-66A014DEE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63</xdr:col>
      <xdr:colOff>161924</xdr:colOff>
      <xdr:row>4</xdr:row>
      <xdr:rowOff>133350</xdr:rowOff>
    </xdr:from>
    <xdr:to>
      <xdr:col>70</xdr:col>
      <xdr:colOff>200024</xdr:colOff>
      <xdr:row>16</xdr:row>
      <xdr:rowOff>180975</xdr:rowOff>
    </xdr:to>
    <mc:AlternateContent xmlns:mc="http://schemas.openxmlformats.org/markup-compatibility/2006">
      <mc:Choice xmlns:a14="http://schemas.microsoft.com/office/drawing/2010/main" Requires="a14">
        <xdr:graphicFrame macro="">
          <xdr:nvGraphicFramePr>
            <xdr:cNvPr id="16" name="ميعاد الطلب">
              <a:extLst>
                <a:ext uri="{FF2B5EF4-FFF2-40B4-BE49-F238E27FC236}">
                  <a16:creationId xmlns:a16="http://schemas.microsoft.com/office/drawing/2014/main" id="{192869A5-1627-4C63-AFF8-E11525227079}"/>
                </a:ext>
              </a:extLst>
            </xdr:cNvPr>
            <xdr:cNvGraphicFramePr/>
          </xdr:nvGraphicFramePr>
          <xdr:xfrm>
            <a:off x="0" y="0"/>
            <a:ext cx="0" cy="0"/>
          </xdr:xfrm>
          <a:graphic>
            <a:graphicData uri="http://schemas.microsoft.com/office/drawing/2010/slicer">
              <sle:slicer xmlns:sle="http://schemas.microsoft.com/office/drawing/2010/slicer" name="ميعاد الطلب"/>
            </a:graphicData>
          </a:graphic>
        </xdr:graphicFrame>
      </mc:Choice>
      <mc:Fallback>
        <xdr:sp macro="" textlink="">
          <xdr:nvSpPr>
            <xdr:cNvPr id="0" name=""/>
            <xdr:cNvSpPr>
              <a:spLocks noTextEdit="1"/>
            </xdr:cNvSpPr>
          </xdr:nvSpPr>
          <xdr:spPr>
            <a:xfrm>
              <a:off x="46939199" y="895350"/>
              <a:ext cx="3076575"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381000</xdr:colOff>
      <xdr:row>28</xdr:row>
      <xdr:rowOff>152400</xdr:rowOff>
    </xdr:from>
    <xdr:to>
      <xdr:col>50</xdr:col>
      <xdr:colOff>428625</xdr:colOff>
      <xdr:row>42</xdr:row>
      <xdr:rowOff>9525</xdr:rowOff>
    </xdr:to>
    <mc:AlternateContent xmlns:mc="http://schemas.openxmlformats.org/markup-compatibility/2006">
      <mc:Choice xmlns:a14="http://schemas.microsoft.com/office/drawing/2010/main" Requires="a14">
        <xdr:graphicFrame macro="">
          <xdr:nvGraphicFramePr>
            <xdr:cNvPr id="18" name="الحالة">
              <a:extLst>
                <a:ext uri="{FF2B5EF4-FFF2-40B4-BE49-F238E27FC236}">
                  <a16:creationId xmlns:a16="http://schemas.microsoft.com/office/drawing/2014/main" id="{5462D9D7-0621-4390-B0A8-B149EEEC7141}"/>
                </a:ext>
              </a:extLst>
            </xdr:cNvPr>
            <xdr:cNvGraphicFramePr/>
          </xdr:nvGraphicFramePr>
          <xdr:xfrm>
            <a:off x="0" y="0"/>
            <a:ext cx="0" cy="0"/>
          </xdr:xfrm>
          <a:graphic>
            <a:graphicData uri="http://schemas.microsoft.com/office/drawing/2010/slicer">
              <sle:slicer xmlns:sle="http://schemas.microsoft.com/office/drawing/2010/slicer" name="الحالة"/>
            </a:graphicData>
          </a:graphic>
        </xdr:graphicFrame>
      </mc:Choice>
      <mc:Fallback>
        <xdr:sp macro="" textlink="">
          <xdr:nvSpPr>
            <xdr:cNvPr id="0" name=""/>
            <xdr:cNvSpPr>
              <a:spLocks noTextEdit="1"/>
            </xdr:cNvSpPr>
          </xdr:nvSpPr>
          <xdr:spPr>
            <a:xfrm>
              <a:off x="36690300" y="5486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371477</xdr:colOff>
      <xdr:row>0</xdr:row>
      <xdr:rowOff>76199</xdr:rowOff>
    </xdr:from>
    <xdr:to>
      <xdr:col>18</xdr:col>
      <xdr:colOff>581025</xdr:colOff>
      <xdr:row>5</xdr:row>
      <xdr:rowOff>161924</xdr:rowOff>
    </xdr:to>
    <xdr:sp macro="" textlink="">
      <xdr:nvSpPr>
        <xdr:cNvPr id="2" name="Rectangle: Rounded Corners 1">
          <a:extLst>
            <a:ext uri="{FF2B5EF4-FFF2-40B4-BE49-F238E27FC236}">
              <a16:creationId xmlns:a16="http://schemas.microsoft.com/office/drawing/2014/main" id="{41F422AC-1C6C-49A0-B6C9-E0940092C2C8}"/>
            </a:ext>
          </a:extLst>
        </xdr:cNvPr>
        <xdr:cNvSpPr/>
      </xdr:nvSpPr>
      <xdr:spPr>
        <a:xfrm>
          <a:off x="371477" y="76199"/>
          <a:ext cx="11182348" cy="1038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523875</xdr:colOff>
      <xdr:row>0</xdr:row>
      <xdr:rowOff>85726</xdr:rowOff>
    </xdr:from>
    <xdr:to>
      <xdr:col>3</xdr:col>
      <xdr:colOff>76200</xdr:colOff>
      <xdr:row>2</xdr:row>
      <xdr:rowOff>171450</xdr:rowOff>
    </xdr:to>
    <xdr:sp macro="" textlink="">
      <xdr:nvSpPr>
        <xdr:cNvPr id="3" name="TextBox 2">
          <a:extLst>
            <a:ext uri="{FF2B5EF4-FFF2-40B4-BE49-F238E27FC236}">
              <a16:creationId xmlns:a16="http://schemas.microsoft.com/office/drawing/2014/main" id="{EBF3C556-4D27-4EA1-A9DE-804261BBC427}"/>
            </a:ext>
          </a:extLst>
        </xdr:cNvPr>
        <xdr:cNvSpPr txBox="1"/>
      </xdr:nvSpPr>
      <xdr:spPr>
        <a:xfrm>
          <a:off x="523875" y="85726"/>
          <a:ext cx="1381125" cy="46672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a:t>
          </a:r>
          <a:r>
            <a:rPr lang="en-US" sz="2000" b="1" baseline="0">
              <a:solidFill>
                <a:schemeClr val="bg1"/>
              </a:solidFill>
            </a:rPr>
            <a:t> Sales</a:t>
          </a:r>
        </a:p>
        <a:p>
          <a:endParaRPr lang="en-US" sz="1100"/>
        </a:p>
      </xdr:txBody>
    </xdr:sp>
    <xdr:clientData/>
  </xdr:twoCellAnchor>
  <xdr:twoCellAnchor>
    <xdr:from>
      <xdr:col>0</xdr:col>
      <xdr:colOff>523875</xdr:colOff>
      <xdr:row>2</xdr:row>
      <xdr:rowOff>161925</xdr:rowOff>
    </xdr:from>
    <xdr:to>
      <xdr:col>2</xdr:col>
      <xdr:colOff>561975</xdr:colOff>
      <xdr:row>5</xdr:row>
      <xdr:rowOff>28575</xdr:rowOff>
    </xdr:to>
    <xdr:sp macro="" textlink="Sheet5!AO6">
      <xdr:nvSpPr>
        <xdr:cNvPr id="4" name="TextBox 3">
          <a:extLst>
            <a:ext uri="{FF2B5EF4-FFF2-40B4-BE49-F238E27FC236}">
              <a16:creationId xmlns:a16="http://schemas.microsoft.com/office/drawing/2014/main" id="{9A080C92-96D6-4A7C-B293-7887E598532E}"/>
            </a:ext>
          </a:extLst>
        </xdr:cNvPr>
        <xdr:cNvSpPr txBox="1"/>
      </xdr:nvSpPr>
      <xdr:spPr>
        <a:xfrm>
          <a:off x="523875" y="542925"/>
          <a:ext cx="1257300" cy="4381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2906FA-AB3F-48E6-819A-4E468780AFF8}" type="TxLink">
            <a:rPr lang="en-US" sz="1800" b="1" i="0" u="none" strike="noStrike">
              <a:solidFill>
                <a:schemeClr val="accent3">
                  <a:lumMod val="50000"/>
                </a:schemeClr>
              </a:solidFill>
              <a:latin typeface="Calibri"/>
              <a:cs typeface="Calibri"/>
            </a:rPr>
            <a:pPr algn="ctr"/>
            <a:t> 1,281,986 </a:t>
          </a:fld>
          <a:endParaRPr lang="en-US" sz="1800" b="1">
            <a:solidFill>
              <a:schemeClr val="accent3">
                <a:lumMod val="50000"/>
              </a:schemeClr>
            </a:solidFill>
          </a:endParaRPr>
        </a:p>
      </xdr:txBody>
    </xdr:sp>
    <xdr:clientData/>
  </xdr:twoCellAnchor>
  <xdr:twoCellAnchor>
    <xdr:from>
      <xdr:col>4</xdr:col>
      <xdr:colOff>504824</xdr:colOff>
      <xdr:row>0</xdr:row>
      <xdr:rowOff>76200</xdr:rowOff>
    </xdr:from>
    <xdr:to>
      <xdr:col>8</xdr:col>
      <xdr:colOff>190500</xdr:colOff>
      <xdr:row>4</xdr:row>
      <xdr:rowOff>142875</xdr:rowOff>
    </xdr:to>
    <xdr:sp macro="" textlink="">
      <xdr:nvSpPr>
        <xdr:cNvPr id="10" name="TextBox 9">
          <a:extLst>
            <a:ext uri="{FF2B5EF4-FFF2-40B4-BE49-F238E27FC236}">
              <a16:creationId xmlns:a16="http://schemas.microsoft.com/office/drawing/2014/main" id="{90C3DFE0-3B9F-4691-9542-E069FC2647C0}"/>
            </a:ext>
          </a:extLst>
        </xdr:cNvPr>
        <xdr:cNvSpPr txBox="1"/>
      </xdr:nvSpPr>
      <xdr:spPr>
        <a:xfrm>
          <a:off x="2943224" y="76200"/>
          <a:ext cx="2124076" cy="8286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The most popular payment method</a:t>
          </a:r>
        </a:p>
      </xdr:txBody>
    </xdr:sp>
    <xdr:clientData/>
  </xdr:twoCellAnchor>
  <xdr:twoCellAnchor>
    <xdr:from>
      <xdr:col>5</xdr:col>
      <xdr:colOff>133350</xdr:colOff>
      <xdr:row>3</xdr:row>
      <xdr:rowOff>95249</xdr:rowOff>
    </xdr:from>
    <xdr:to>
      <xdr:col>7</xdr:col>
      <xdr:colOff>542925</xdr:colOff>
      <xdr:row>5</xdr:row>
      <xdr:rowOff>66674</xdr:rowOff>
    </xdr:to>
    <xdr:sp macro="" textlink="">
      <xdr:nvSpPr>
        <xdr:cNvPr id="11" name="TextBox 10">
          <a:extLst>
            <a:ext uri="{FF2B5EF4-FFF2-40B4-BE49-F238E27FC236}">
              <a16:creationId xmlns:a16="http://schemas.microsoft.com/office/drawing/2014/main" id="{9F638D5B-93FE-4A17-806C-512679AB74C4}"/>
            </a:ext>
          </a:extLst>
        </xdr:cNvPr>
        <xdr:cNvSpPr txBox="1"/>
      </xdr:nvSpPr>
      <xdr:spPr>
        <a:xfrm>
          <a:off x="3181350" y="666749"/>
          <a:ext cx="1628775" cy="3524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a:solidFill>
                <a:schemeClr val="accent3">
                  <a:lumMod val="50000"/>
                </a:schemeClr>
              </a:solidFill>
              <a:latin typeface="+mn-lt"/>
              <a:ea typeface="+mn-ea"/>
              <a:cs typeface="+mn-cs"/>
            </a:rPr>
            <a:t>مسبق</a:t>
          </a:r>
          <a:r>
            <a:rPr lang="ar-EG" sz="2000" b="1">
              <a:solidFill>
                <a:schemeClr val="accent3">
                  <a:lumMod val="50000"/>
                </a:schemeClr>
              </a:solidFill>
            </a:rPr>
            <a:t> الدفع</a:t>
          </a:r>
          <a:endParaRPr lang="en-US" sz="2000" b="1">
            <a:solidFill>
              <a:schemeClr val="accent3">
                <a:lumMod val="50000"/>
              </a:schemeClr>
            </a:solidFill>
          </a:endParaRPr>
        </a:p>
      </xdr:txBody>
    </xdr:sp>
    <xdr:clientData/>
  </xdr:twoCellAnchor>
  <xdr:twoCellAnchor>
    <xdr:from>
      <xdr:col>9</xdr:col>
      <xdr:colOff>28575</xdr:colOff>
      <xdr:row>0</xdr:row>
      <xdr:rowOff>114301</xdr:rowOff>
    </xdr:from>
    <xdr:to>
      <xdr:col>12</xdr:col>
      <xdr:colOff>466725</xdr:colOff>
      <xdr:row>2</xdr:row>
      <xdr:rowOff>171451</xdr:rowOff>
    </xdr:to>
    <xdr:sp macro="" textlink="">
      <xdr:nvSpPr>
        <xdr:cNvPr id="12" name="TextBox 11">
          <a:extLst>
            <a:ext uri="{FF2B5EF4-FFF2-40B4-BE49-F238E27FC236}">
              <a16:creationId xmlns:a16="http://schemas.microsoft.com/office/drawing/2014/main" id="{FB848FDD-6689-48FE-8C66-BB93A1570E73}"/>
            </a:ext>
          </a:extLst>
        </xdr:cNvPr>
        <xdr:cNvSpPr txBox="1"/>
      </xdr:nvSpPr>
      <xdr:spPr>
        <a:xfrm>
          <a:off x="5514975" y="114301"/>
          <a:ext cx="2266950" cy="4381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AVG. Delivery time</a:t>
          </a:r>
        </a:p>
      </xdr:txBody>
    </xdr:sp>
    <xdr:clientData/>
  </xdr:twoCellAnchor>
  <xdr:twoCellAnchor>
    <xdr:from>
      <xdr:col>9</xdr:col>
      <xdr:colOff>504825</xdr:colOff>
      <xdr:row>3</xdr:row>
      <xdr:rowOff>19050</xdr:rowOff>
    </xdr:from>
    <xdr:to>
      <xdr:col>11</xdr:col>
      <xdr:colOff>371475</xdr:colOff>
      <xdr:row>4</xdr:row>
      <xdr:rowOff>152400</xdr:rowOff>
    </xdr:to>
    <xdr:sp macro="" textlink="Sheet5!BC7">
      <xdr:nvSpPr>
        <xdr:cNvPr id="13" name="TextBox 12">
          <a:extLst>
            <a:ext uri="{FF2B5EF4-FFF2-40B4-BE49-F238E27FC236}">
              <a16:creationId xmlns:a16="http://schemas.microsoft.com/office/drawing/2014/main" id="{CC3E76D3-6666-41D5-B7BD-B39061D285D8}"/>
            </a:ext>
          </a:extLst>
        </xdr:cNvPr>
        <xdr:cNvSpPr txBox="1"/>
      </xdr:nvSpPr>
      <xdr:spPr>
        <a:xfrm>
          <a:off x="5991225" y="590550"/>
          <a:ext cx="1085850" cy="3238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EE1AC6-D199-4A60-8AD7-15904C0ED8FD}" type="TxLink">
            <a:rPr lang="en-US" sz="2000" b="1" i="0" u="none" strike="noStrike">
              <a:solidFill>
                <a:schemeClr val="tx1">
                  <a:lumMod val="65000"/>
                  <a:lumOff val="35000"/>
                </a:schemeClr>
              </a:solidFill>
              <a:latin typeface="Calibri"/>
              <a:cs typeface="Calibri"/>
            </a:rPr>
            <a:t> 15 </a:t>
          </a:fld>
          <a:r>
            <a:rPr lang="en-US" sz="2000" b="1" i="0" u="none" strike="noStrike">
              <a:solidFill>
                <a:schemeClr val="tx1">
                  <a:lumMod val="65000"/>
                  <a:lumOff val="35000"/>
                </a:schemeClr>
              </a:solidFill>
              <a:latin typeface="Calibri"/>
              <a:cs typeface="Calibri"/>
            </a:rPr>
            <a:t>Days</a:t>
          </a:r>
          <a:endParaRPr lang="en-US" sz="2000" b="1">
            <a:solidFill>
              <a:schemeClr val="tx1">
                <a:lumMod val="65000"/>
                <a:lumOff val="35000"/>
              </a:schemeClr>
            </a:solidFill>
          </a:endParaRPr>
        </a:p>
      </xdr:txBody>
    </xdr:sp>
    <xdr:clientData/>
  </xdr:twoCellAnchor>
  <xdr:twoCellAnchor>
    <xdr:from>
      <xdr:col>13</xdr:col>
      <xdr:colOff>276225</xdr:colOff>
      <xdr:row>0</xdr:row>
      <xdr:rowOff>123825</xdr:rowOff>
    </xdr:from>
    <xdr:to>
      <xdr:col>18</xdr:col>
      <xdr:colOff>9525</xdr:colOff>
      <xdr:row>3</xdr:row>
      <xdr:rowOff>76200</xdr:rowOff>
    </xdr:to>
    <xdr:sp macro="" textlink="">
      <xdr:nvSpPr>
        <xdr:cNvPr id="14" name="TextBox 13">
          <a:extLst>
            <a:ext uri="{FF2B5EF4-FFF2-40B4-BE49-F238E27FC236}">
              <a16:creationId xmlns:a16="http://schemas.microsoft.com/office/drawing/2014/main" id="{B4A76153-02BA-4F73-AF9D-7A1E15CE29AB}"/>
            </a:ext>
          </a:extLst>
        </xdr:cNvPr>
        <xdr:cNvSpPr txBox="1"/>
      </xdr:nvSpPr>
      <xdr:spPr>
        <a:xfrm>
          <a:off x="8201025" y="123825"/>
          <a:ext cx="2781300" cy="5238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chemeClr val="bg1"/>
              </a:solidFill>
              <a:effectLst/>
              <a:latin typeface="+mn-lt"/>
              <a:ea typeface="+mn-ea"/>
              <a:cs typeface="+mn-cs"/>
            </a:rPr>
            <a:t>The</a:t>
          </a:r>
          <a:r>
            <a:rPr lang="en-US" sz="2000" b="1" baseline="0">
              <a:solidFill>
                <a:schemeClr val="bg1"/>
              </a:solidFill>
              <a:effectLst/>
              <a:latin typeface="+mn-lt"/>
              <a:ea typeface="+mn-ea"/>
              <a:cs typeface="+mn-cs"/>
            </a:rPr>
            <a:t> best delivery person</a:t>
          </a:r>
          <a:endParaRPr lang="en-US" sz="2000">
            <a:solidFill>
              <a:schemeClr val="bg1"/>
            </a:solidFill>
            <a:effectLst/>
          </a:endParaRPr>
        </a:p>
        <a:p>
          <a:endParaRPr lang="en-US" sz="1100"/>
        </a:p>
      </xdr:txBody>
    </xdr:sp>
    <xdr:clientData/>
  </xdr:twoCellAnchor>
  <xdr:twoCellAnchor>
    <xdr:from>
      <xdr:col>14</xdr:col>
      <xdr:colOff>590550</xdr:colOff>
      <xdr:row>3</xdr:row>
      <xdr:rowOff>133350</xdr:rowOff>
    </xdr:from>
    <xdr:to>
      <xdr:col>16</xdr:col>
      <xdr:colOff>381000</xdr:colOff>
      <xdr:row>5</xdr:row>
      <xdr:rowOff>95250</xdr:rowOff>
    </xdr:to>
    <xdr:sp macro="" textlink="">
      <xdr:nvSpPr>
        <xdr:cNvPr id="15" name="TextBox 14">
          <a:extLst>
            <a:ext uri="{FF2B5EF4-FFF2-40B4-BE49-F238E27FC236}">
              <a16:creationId xmlns:a16="http://schemas.microsoft.com/office/drawing/2014/main" id="{C7A1B804-C34D-41CC-B636-3E4507F34941}"/>
            </a:ext>
          </a:extLst>
        </xdr:cNvPr>
        <xdr:cNvSpPr txBox="1"/>
      </xdr:nvSpPr>
      <xdr:spPr>
        <a:xfrm>
          <a:off x="9124950" y="704850"/>
          <a:ext cx="1009650" cy="3429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baseline="0">
              <a:solidFill>
                <a:schemeClr val="tx1">
                  <a:lumMod val="65000"/>
                  <a:lumOff val="35000"/>
                </a:schemeClr>
              </a:solidFill>
            </a:rPr>
            <a:t>الحج سيد</a:t>
          </a:r>
          <a:endParaRPr lang="en-US" sz="2000" b="1">
            <a:solidFill>
              <a:schemeClr val="tx1">
                <a:lumMod val="65000"/>
                <a:lumOff val="35000"/>
              </a:schemeClr>
            </a:solidFill>
          </a:endParaRPr>
        </a:p>
      </xdr:txBody>
    </xdr:sp>
    <xdr:clientData/>
  </xdr:twoCellAnchor>
  <xdr:twoCellAnchor>
    <xdr:from>
      <xdr:col>9</xdr:col>
      <xdr:colOff>361950</xdr:colOff>
      <xdr:row>6</xdr:row>
      <xdr:rowOff>76200</xdr:rowOff>
    </xdr:from>
    <xdr:to>
      <xdr:col>9</xdr:col>
      <xdr:colOff>400050</xdr:colOff>
      <xdr:row>38</xdr:row>
      <xdr:rowOff>114300</xdr:rowOff>
    </xdr:to>
    <xdr:cxnSp macro="">
      <xdr:nvCxnSpPr>
        <xdr:cNvPr id="28" name="Straight Connector 27">
          <a:extLst>
            <a:ext uri="{FF2B5EF4-FFF2-40B4-BE49-F238E27FC236}">
              <a16:creationId xmlns:a16="http://schemas.microsoft.com/office/drawing/2014/main" id="{7BFEC863-C124-435B-8947-521B56755C31}"/>
            </a:ext>
          </a:extLst>
        </xdr:cNvPr>
        <xdr:cNvCxnSpPr/>
      </xdr:nvCxnSpPr>
      <xdr:spPr>
        <a:xfrm>
          <a:off x="5848350" y="1219200"/>
          <a:ext cx="38100" cy="6134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333375</xdr:colOff>
      <xdr:row>6</xdr:row>
      <xdr:rowOff>38099</xdr:rowOff>
    </xdr:from>
    <xdr:to>
      <xdr:col>7</xdr:col>
      <xdr:colOff>133350</xdr:colOff>
      <xdr:row>19</xdr:row>
      <xdr:rowOff>180975</xdr:rowOff>
    </xdr:to>
    <xdr:sp macro="" textlink="">
      <xdr:nvSpPr>
        <xdr:cNvPr id="29" name="Rectangle: Rounded Corners 28">
          <a:extLst>
            <a:ext uri="{FF2B5EF4-FFF2-40B4-BE49-F238E27FC236}">
              <a16:creationId xmlns:a16="http://schemas.microsoft.com/office/drawing/2014/main" id="{27C95325-4EDD-4EF2-8923-09E69DAFA529}"/>
            </a:ext>
          </a:extLst>
        </xdr:cNvPr>
        <xdr:cNvSpPr/>
      </xdr:nvSpPr>
      <xdr:spPr>
        <a:xfrm>
          <a:off x="333375" y="1181099"/>
          <a:ext cx="4067175" cy="261937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180975</xdr:colOff>
      <xdr:row>8</xdr:row>
      <xdr:rowOff>47626</xdr:rowOff>
    </xdr:from>
    <xdr:to>
      <xdr:col>6</xdr:col>
      <xdr:colOff>333375</xdr:colOff>
      <xdr:row>19</xdr:row>
      <xdr:rowOff>9525</xdr:rowOff>
    </xdr:to>
    <xdr:graphicFrame macro="">
      <xdr:nvGraphicFramePr>
        <xdr:cNvPr id="30" name="Chart 29">
          <a:extLst>
            <a:ext uri="{FF2B5EF4-FFF2-40B4-BE49-F238E27FC236}">
              <a16:creationId xmlns:a16="http://schemas.microsoft.com/office/drawing/2014/main" id="{9D777849-8A6A-4896-9080-B4CCD7EB5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xdr:colOff>
      <xdr:row>6</xdr:row>
      <xdr:rowOff>152399</xdr:rowOff>
    </xdr:from>
    <xdr:to>
      <xdr:col>6</xdr:col>
      <xdr:colOff>190500</xdr:colOff>
      <xdr:row>9</xdr:row>
      <xdr:rowOff>9524</xdr:rowOff>
    </xdr:to>
    <xdr:sp macro="" textlink="">
      <xdr:nvSpPr>
        <xdr:cNvPr id="31" name="TextBox 30">
          <a:extLst>
            <a:ext uri="{FF2B5EF4-FFF2-40B4-BE49-F238E27FC236}">
              <a16:creationId xmlns:a16="http://schemas.microsoft.com/office/drawing/2014/main" id="{5E1B8F65-CFCC-44A9-B020-65D7C977EBB8}"/>
            </a:ext>
          </a:extLst>
        </xdr:cNvPr>
        <xdr:cNvSpPr txBox="1"/>
      </xdr:nvSpPr>
      <xdr:spPr>
        <a:xfrm>
          <a:off x="1276350" y="1295399"/>
          <a:ext cx="2571750" cy="4286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a:solidFill>
                <a:schemeClr val="bg1"/>
              </a:solidFill>
            </a:rPr>
            <a:t>العملاء اللي بيتعاملوا</a:t>
          </a:r>
          <a:r>
            <a:rPr lang="ar-EG" sz="2000" b="1" baseline="0">
              <a:solidFill>
                <a:schemeClr val="bg1"/>
              </a:solidFill>
            </a:rPr>
            <a:t> معانا</a:t>
          </a:r>
          <a:endParaRPr lang="en-US" sz="2000" b="1">
            <a:solidFill>
              <a:schemeClr val="bg1"/>
            </a:solidFill>
          </a:endParaRPr>
        </a:p>
      </xdr:txBody>
    </xdr:sp>
    <xdr:clientData/>
  </xdr:twoCellAnchor>
  <xdr:twoCellAnchor>
    <xdr:from>
      <xdr:col>0</xdr:col>
      <xdr:colOff>333374</xdr:colOff>
      <xdr:row>20</xdr:row>
      <xdr:rowOff>123825</xdr:rowOff>
    </xdr:from>
    <xdr:to>
      <xdr:col>7</xdr:col>
      <xdr:colOff>142875</xdr:colOff>
      <xdr:row>35</xdr:row>
      <xdr:rowOff>57150</xdr:rowOff>
    </xdr:to>
    <xdr:sp macro="" textlink="">
      <xdr:nvSpPr>
        <xdr:cNvPr id="32" name="Rectangle: Rounded Corners 31">
          <a:extLst>
            <a:ext uri="{FF2B5EF4-FFF2-40B4-BE49-F238E27FC236}">
              <a16:creationId xmlns:a16="http://schemas.microsoft.com/office/drawing/2014/main" id="{EBAC4C8F-E0B3-4FC4-AF45-C41B60B8D02D}"/>
            </a:ext>
          </a:extLst>
        </xdr:cNvPr>
        <xdr:cNvSpPr/>
      </xdr:nvSpPr>
      <xdr:spPr>
        <a:xfrm>
          <a:off x="333374" y="3933825"/>
          <a:ext cx="4076701" cy="27908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247651</xdr:colOff>
      <xdr:row>21</xdr:row>
      <xdr:rowOff>85725</xdr:rowOff>
    </xdr:from>
    <xdr:to>
      <xdr:col>6</xdr:col>
      <xdr:colOff>542925</xdr:colOff>
      <xdr:row>34</xdr:row>
      <xdr:rowOff>180975</xdr:rowOff>
    </xdr:to>
    <xdr:graphicFrame macro="">
      <xdr:nvGraphicFramePr>
        <xdr:cNvPr id="33" name="Chart 32">
          <a:extLst>
            <a:ext uri="{FF2B5EF4-FFF2-40B4-BE49-F238E27FC236}">
              <a16:creationId xmlns:a16="http://schemas.microsoft.com/office/drawing/2014/main" id="{B5C1FC0D-4307-4AC6-B3D0-C44ECD0C2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428626</xdr:colOff>
      <xdr:row>21</xdr:row>
      <xdr:rowOff>38099</xdr:rowOff>
    </xdr:from>
    <xdr:to>
      <xdr:col>4</xdr:col>
      <xdr:colOff>390526</xdr:colOff>
      <xdr:row>23</xdr:row>
      <xdr:rowOff>9525</xdr:rowOff>
    </xdr:to>
    <xdr:sp macro="" textlink="">
      <xdr:nvSpPr>
        <xdr:cNvPr id="34" name="TextBox 33">
          <a:extLst>
            <a:ext uri="{FF2B5EF4-FFF2-40B4-BE49-F238E27FC236}">
              <a16:creationId xmlns:a16="http://schemas.microsoft.com/office/drawing/2014/main" id="{7B6C6BBC-0992-4C8E-8B33-0402644927E5}"/>
            </a:ext>
          </a:extLst>
        </xdr:cNvPr>
        <xdr:cNvSpPr txBox="1"/>
      </xdr:nvSpPr>
      <xdr:spPr>
        <a:xfrm>
          <a:off x="1647826" y="4038599"/>
          <a:ext cx="1181100" cy="35242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a:solidFill>
                <a:schemeClr val="bg1"/>
              </a:solidFill>
            </a:rPr>
            <a:t>انوع الافراد</a:t>
          </a:r>
          <a:endParaRPr lang="en-US" sz="2000" b="1">
            <a:solidFill>
              <a:schemeClr val="bg1"/>
            </a:solidFill>
          </a:endParaRPr>
        </a:p>
      </xdr:txBody>
    </xdr:sp>
    <xdr:clientData/>
  </xdr:twoCellAnchor>
  <xdr:twoCellAnchor>
    <xdr:from>
      <xdr:col>9</xdr:col>
      <xdr:colOff>552449</xdr:colOff>
      <xdr:row>6</xdr:row>
      <xdr:rowOff>85726</xdr:rowOff>
    </xdr:from>
    <xdr:to>
      <xdr:col>13</xdr:col>
      <xdr:colOff>533400</xdr:colOff>
      <xdr:row>11</xdr:row>
      <xdr:rowOff>142875</xdr:rowOff>
    </xdr:to>
    <xdr:sp macro="" textlink="">
      <xdr:nvSpPr>
        <xdr:cNvPr id="35" name="Rectangle: Rounded Corners 34">
          <a:extLst>
            <a:ext uri="{FF2B5EF4-FFF2-40B4-BE49-F238E27FC236}">
              <a16:creationId xmlns:a16="http://schemas.microsoft.com/office/drawing/2014/main" id="{CDAC77B2-5C3F-418C-B912-0FBBCC531E64}"/>
            </a:ext>
          </a:extLst>
        </xdr:cNvPr>
        <xdr:cNvSpPr/>
      </xdr:nvSpPr>
      <xdr:spPr>
        <a:xfrm>
          <a:off x="6038849" y="1228726"/>
          <a:ext cx="2419351" cy="10096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100"/>
            <a:t>ر</a:t>
          </a:r>
          <a:endParaRPr lang="en-US" sz="1100"/>
        </a:p>
      </xdr:txBody>
    </xdr:sp>
    <xdr:clientData/>
  </xdr:twoCellAnchor>
  <xdr:twoCellAnchor>
    <xdr:from>
      <xdr:col>9</xdr:col>
      <xdr:colOff>600075</xdr:colOff>
      <xdr:row>6</xdr:row>
      <xdr:rowOff>142875</xdr:rowOff>
    </xdr:from>
    <xdr:to>
      <xdr:col>13</xdr:col>
      <xdr:colOff>476250</xdr:colOff>
      <xdr:row>10</xdr:row>
      <xdr:rowOff>57150</xdr:rowOff>
    </xdr:to>
    <xdr:sp macro="" textlink="">
      <xdr:nvSpPr>
        <xdr:cNvPr id="36" name="TextBox 35">
          <a:extLst>
            <a:ext uri="{FF2B5EF4-FFF2-40B4-BE49-F238E27FC236}">
              <a16:creationId xmlns:a16="http://schemas.microsoft.com/office/drawing/2014/main" id="{8DF3A496-F23D-4BB7-B3BF-365D12DE5740}"/>
            </a:ext>
          </a:extLst>
        </xdr:cNvPr>
        <xdr:cNvSpPr txBox="1"/>
      </xdr:nvSpPr>
      <xdr:spPr>
        <a:xfrm>
          <a:off x="6086475" y="1285875"/>
          <a:ext cx="2314575" cy="6762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Best-selling product</a:t>
          </a:r>
        </a:p>
      </xdr:txBody>
    </xdr:sp>
    <xdr:clientData/>
  </xdr:twoCellAnchor>
  <xdr:twoCellAnchor>
    <xdr:from>
      <xdr:col>11</xdr:col>
      <xdr:colOff>123826</xdr:colOff>
      <xdr:row>9</xdr:row>
      <xdr:rowOff>57150</xdr:rowOff>
    </xdr:from>
    <xdr:to>
      <xdr:col>12</xdr:col>
      <xdr:colOff>352426</xdr:colOff>
      <xdr:row>11</xdr:row>
      <xdr:rowOff>57150</xdr:rowOff>
    </xdr:to>
    <xdr:sp macro="" textlink="">
      <xdr:nvSpPr>
        <xdr:cNvPr id="37" name="TextBox 36">
          <a:extLst>
            <a:ext uri="{FF2B5EF4-FFF2-40B4-BE49-F238E27FC236}">
              <a16:creationId xmlns:a16="http://schemas.microsoft.com/office/drawing/2014/main" id="{214A3DA1-0799-4C36-81E8-C02C654ED6AC}"/>
            </a:ext>
          </a:extLst>
        </xdr:cNvPr>
        <xdr:cNvSpPr txBox="1"/>
      </xdr:nvSpPr>
      <xdr:spPr>
        <a:xfrm>
          <a:off x="6829426" y="1771650"/>
          <a:ext cx="838200" cy="3810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a:solidFill>
                <a:schemeClr val="accent3">
                  <a:lumMod val="50000"/>
                </a:schemeClr>
              </a:solidFill>
            </a:rPr>
            <a:t>السرير</a:t>
          </a:r>
          <a:endParaRPr lang="en-US" sz="2000" b="1">
            <a:solidFill>
              <a:schemeClr val="accent3">
                <a:lumMod val="50000"/>
              </a:schemeClr>
            </a:solidFill>
          </a:endParaRPr>
        </a:p>
      </xdr:txBody>
    </xdr:sp>
    <xdr:clientData/>
  </xdr:twoCellAnchor>
  <xdr:twoCellAnchor>
    <xdr:from>
      <xdr:col>10</xdr:col>
      <xdr:colOff>9525</xdr:colOff>
      <xdr:row>14</xdr:row>
      <xdr:rowOff>66675</xdr:rowOff>
    </xdr:from>
    <xdr:to>
      <xdr:col>19</xdr:col>
      <xdr:colOff>47625</xdr:colOff>
      <xdr:row>32</xdr:row>
      <xdr:rowOff>47625</xdr:rowOff>
    </xdr:to>
    <xdr:sp macro="" textlink="">
      <xdr:nvSpPr>
        <xdr:cNvPr id="38" name="Rectangle: Rounded Corners 37">
          <a:extLst>
            <a:ext uri="{FF2B5EF4-FFF2-40B4-BE49-F238E27FC236}">
              <a16:creationId xmlns:a16="http://schemas.microsoft.com/office/drawing/2014/main" id="{388A5C59-779C-4661-9150-BFE83156BBB8}"/>
            </a:ext>
          </a:extLst>
        </xdr:cNvPr>
        <xdr:cNvSpPr/>
      </xdr:nvSpPr>
      <xdr:spPr>
        <a:xfrm>
          <a:off x="6105525" y="2733675"/>
          <a:ext cx="5524500" cy="34099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114300</xdr:colOff>
      <xdr:row>15</xdr:row>
      <xdr:rowOff>95251</xdr:rowOff>
    </xdr:from>
    <xdr:to>
      <xdr:col>18</xdr:col>
      <xdr:colOff>571500</xdr:colOff>
      <xdr:row>30</xdr:row>
      <xdr:rowOff>133351</xdr:rowOff>
    </xdr:to>
    <xdr:graphicFrame macro="">
      <xdr:nvGraphicFramePr>
        <xdr:cNvPr id="40" name="Chart 39">
          <a:extLst>
            <a:ext uri="{FF2B5EF4-FFF2-40B4-BE49-F238E27FC236}">
              <a16:creationId xmlns:a16="http://schemas.microsoft.com/office/drawing/2014/main" id="{271C2A7B-4E95-400A-BAE9-269C83B89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428626</xdr:colOff>
      <xdr:row>6</xdr:row>
      <xdr:rowOff>76200</xdr:rowOff>
    </xdr:from>
    <xdr:to>
      <xdr:col>19</xdr:col>
      <xdr:colOff>38100</xdr:colOff>
      <xdr:row>11</xdr:row>
      <xdr:rowOff>152399</xdr:rowOff>
    </xdr:to>
    <xdr:sp macro="" textlink="">
      <xdr:nvSpPr>
        <xdr:cNvPr id="44" name="Rectangle: Rounded Corners 43">
          <a:extLst>
            <a:ext uri="{FF2B5EF4-FFF2-40B4-BE49-F238E27FC236}">
              <a16:creationId xmlns:a16="http://schemas.microsoft.com/office/drawing/2014/main" id="{5C86B949-7BFB-4867-995B-75BC5F79D8FD}"/>
            </a:ext>
          </a:extLst>
        </xdr:cNvPr>
        <xdr:cNvSpPr/>
      </xdr:nvSpPr>
      <xdr:spPr>
        <a:xfrm>
          <a:off x="8963026" y="1219200"/>
          <a:ext cx="2657474" cy="102869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466725</xdr:colOff>
      <xdr:row>6</xdr:row>
      <xdr:rowOff>142875</xdr:rowOff>
    </xdr:from>
    <xdr:to>
      <xdr:col>19</xdr:col>
      <xdr:colOff>19050</xdr:colOff>
      <xdr:row>9</xdr:row>
      <xdr:rowOff>114300</xdr:rowOff>
    </xdr:to>
    <xdr:sp macro="" textlink="">
      <xdr:nvSpPr>
        <xdr:cNvPr id="48" name="TextBox 47">
          <a:extLst>
            <a:ext uri="{FF2B5EF4-FFF2-40B4-BE49-F238E27FC236}">
              <a16:creationId xmlns:a16="http://schemas.microsoft.com/office/drawing/2014/main" id="{9765E061-C9A5-4C1B-B851-0BC5B601A9A5}"/>
            </a:ext>
          </a:extLst>
        </xdr:cNvPr>
        <xdr:cNvSpPr txBox="1"/>
      </xdr:nvSpPr>
      <xdr:spPr>
        <a:xfrm>
          <a:off x="9001125" y="1285875"/>
          <a:ext cx="2600325" cy="5429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prstClr val="white"/>
              </a:solidFill>
              <a:effectLst/>
              <a:uLnTx/>
              <a:uFillTx/>
              <a:latin typeface="+mn-lt"/>
              <a:ea typeface="+mn-ea"/>
              <a:cs typeface="+mn-cs"/>
            </a:rPr>
            <a:t>Lowest selling product</a:t>
          </a:r>
        </a:p>
        <a:p>
          <a:endParaRPr lang="en-US" sz="1100"/>
        </a:p>
      </xdr:txBody>
    </xdr:sp>
    <xdr:clientData/>
  </xdr:twoCellAnchor>
  <xdr:twoCellAnchor>
    <xdr:from>
      <xdr:col>15</xdr:col>
      <xdr:colOff>600076</xdr:colOff>
      <xdr:row>9</xdr:row>
      <xdr:rowOff>57150</xdr:rowOff>
    </xdr:from>
    <xdr:to>
      <xdr:col>17</xdr:col>
      <xdr:colOff>390525</xdr:colOff>
      <xdr:row>11</xdr:row>
      <xdr:rowOff>38100</xdr:rowOff>
    </xdr:to>
    <xdr:sp macro="" textlink="">
      <xdr:nvSpPr>
        <xdr:cNvPr id="49" name="TextBox 48">
          <a:extLst>
            <a:ext uri="{FF2B5EF4-FFF2-40B4-BE49-F238E27FC236}">
              <a16:creationId xmlns:a16="http://schemas.microsoft.com/office/drawing/2014/main" id="{BDEA3C59-30BD-4EEF-9CC7-47868185A981}"/>
            </a:ext>
          </a:extLst>
        </xdr:cNvPr>
        <xdr:cNvSpPr txBox="1"/>
      </xdr:nvSpPr>
      <xdr:spPr>
        <a:xfrm>
          <a:off x="9744076" y="1771650"/>
          <a:ext cx="1009649" cy="3619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a:solidFill>
                <a:schemeClr val="accent3">
                  <a:lumMod val="50000"/>
                </a:schemeClr>
              </a:solidFill>
            </a:rPr>
            <a:t>شيزلونج</a:t>
          </a:r>
          <a:endParaRPr lang="en-US" sz="2000" b="1">
            <a:solidFill>
              <a:schemeClr val="accent3">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180975</xdr:colOff>
      <xdr:row>0</xdr:row>
      <xdr:rowOff>85725</xdr:rowOff>
    </xdr:from>
    <xdr:to>
      <xdr:col>19</xdr:col>
      <xdr:colOff>9525</xdr:colOff>
      <xdr:row>6</xdr:row>
      <xdr:rowOff>123825</xdr:rowOff>
    </xdr:to>
    <xdr:sp macro="" textlink="">
      <xdr:nvSpPr>
        <xdr:cNvPr id="2" name="Rectangle: Rounded Corners 1">
          <a:extLst>
            <a:ext uri="{FF2B5EF4-FFF2-40B4-BE49-F238E27FC236}">
              <a16:creationId xmlns:a16="http://schemas.microsoft.com/office/drawing/2014/main" id="{04AD71CE-002D-49EC-A514-B3E75CB5100E}"/>
            </a:ext>
          </a:extLst>
        </xdr:cNvPr>
        <xdr:cNvSpPr/>
      </xdr:nvSpPr>
      <xdr:spPr>
        <a:xfrm>
          <a:off x="180975" y="85725"/>
          <a:ext cx="11410950" cy="1181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323850</xdr:colOff>
      <xdr:row>0</xdr:row>
      <xdr:rowOff>95250</xdr:rowOff>
    </xdr:from>
    <xdr:to>
      <xdr:col>4</xdr:col>
      <xdr:colOff>85725</xdr:colOff>
      <xdr:row>4</xdr:row>
      <xdr:rowOff>76200</xdr:rowOff>
    </xdr:to>
    <xdr:sp macro="" textlink="">
      <xdr:nvSpPr>
        <xdr:cNvPr id="3" name="TextBox 2">
          <a:extLst>
            <a:ext uri="{FF2B5EF4-FFF2-40B4-BE49-F238E27FC236}">
              <a16:creationId xmlns:a16="http://schemas.microsoft.com/office/drawing/2014/main" id="{33290AC3-A495-4AC2-8D78-492F3629BC9D}"/>
            </a:ext>
          </a:extLst>
        </xdr:cNvPr>
        <xdr:cNvSpPr txBox="1"/>
      </xdr:nvSpPr>
      <xdr:spPr>
        <a:xfrm>
          <a:off x="323850" y="95250"/>
          <a:ext cx="2200275" cy="7429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rial Narrow" panose="020B0606020202030204" pitchFamily="34" charset="0"/>
            </a:rPr>
            <a:t>The governorate that buys the most</a:t>
          </a:r>
        </a:p>
      </xdr:txBody>
    </xdr:sp>
    <xdr:clientData/>
  </xdr:twoCellAnchor>
  <xdr:twoCellAnchor>
    <xdr:from>
      <xdr:col>0</xdr:col>
      <xdr:colOff>571500</xdr:colOff>
      <xdr:row>4</xdr:row>
      <xdr:rowOff>47624</xdr:rowOff>
    </xdr:from>
    <xdr:to>
      <xdr:col>2</xdr:col>
      <xdr:colOff>190500</xdr:colOff>
      <xdr:row>5</xdr:row>
      <xdr:rowOff>190499</xdr:rowOff>
    </xdr:to>
    <xdr:sp macro="" textlink="">
      <xdr:nvSpPr>
        <xdr:cNvPr id="4" name="TextBox 3">
          <a:extLst>
            <a:ext uri="{FF2B5EF4-FFF2-40B4-BE49-F238E27FC236}">
              <a16:creationId xmlns:a16="http://schemas.microsoft.com/office/drawing/2014/main" id="{266ED5B5-9828-45A0-A17C-E96306D6DFE3}"/>
            </a:ext>
          </a:extLst>
        </xdr:cNvPr>
        <xdr:cNvSpPr txBox="1"/>
      </xdr:nvSpPr>
      <xdr:spPr>
        <a:xfrm>
          <a:off x="571500" y="809624"/>
          <a:ext cx="838200" cy="3333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a:solidFill>
                <a:schemeClr val="accent3">
                  <a:lumMod val="50000"/>
                </a:schemeClr>
              </a:solidFill>
            </a:rPr>
            <a:t>القاهرة</a:t>
          </a:r>
          <a:endParaRPr lang="en-US" sz="2000">
            <a:solidFill>
              <a:schemeClr val="accent3">
                <a:lumMod val="50000"/>
              </a:schemeClr>
            </a:solidFill>
          </a:endParaRPr>
        </a:p>
      </xdr:txBody>
    </xdr:sp>
    <xdr:clientData/>
  </xdr:twoCellAnchor>
  <xdr:twoCellAnchor>
    <xdr:from>
      <xdr:col>2</xdr:col>
      <xdr:colOff>133350</xdr:colOff>
      <xdr:row>4</xdr:row>
      <xdr:rowOff>28575</xdr:rowOff>
    </xdr:from>
    <xdr:to>
      <xdr:col>3</xdr:col>
      <xdr:colOff>304800</xdr:colOff>
      <xdr:row>6</xdr:row>
      <xdr:rowOff>85725</xdr:rowOff>
    </xdr:to>
    <xdr:sp macro="" textlink="">
      <xdr:nvSpPr>
        <xdr:cNvPr id="5" name="Arrow: Right 4">
          <a:extLst>
            <a:ext uri="{FF2B5EF4-FFF2-40B4-BE49-F238E27FC236}">
              <a16:creationId xmlns:a16="http://schemas.microsoft.com/office/drawing/2014/main" id="{CE2DD76A-9377-4BB6-A310-91B602501946}"/>
            </a:ext>
          </a:extLst>
        </xdr:cNvPr>
        <xdr:cNvSpPr/>
      </xdr:nvSpPr>
      <xdr:spPr>
        <a:xfrm>
          <a:off x="1352550" y="790575"/>
          <a:ext cx="781050" cy="438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304800</xdr:colOff>
      <xdr:row>4</xdr:row>
      <xdr:rowOff>0</xdr:rowOff>
    </xdr:from>
    <xdr:to>
      <xdr:col>5</xdr:col>
      <xdr:colOff>428625</xdr:colOff>
      <xdr:row>6</xdr:row>
      <xdr:rowOff>76200</xdr:rowOff>
    </xdr:to>
    <xdr:sp macro="" textlink="">
      <xdr:nvSpPr>
        <xdr:cNvPr id="6" name="TextBox 5">
          <a:extLst>
            <a:ext uri="{FF2B5EF4-FFF2-40B4-BE49-F238E27FC236}">
              <a16:creationId xmlns:a16="http://schemas.microsoft.com/office/drawing/2014/main" id="{89FF27CB-A6FE-4E8E-807B-DFA34F2A7142}"/>
            </a:ext>
          </a:extLst>
        </xdr:cNvPr>
        <xdr:cNvSpPr txBox="1"/>
      </xdr:nvSpPr>
      <xdr:spPr>
        <a:xfrm>
          <a:off x="2133600" y="762000"/>
          <a:ext cx="1343025" cy="4572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a:t>525.556</a:t>
          </a:r>
          <a:r>
            <a:rPr lang="en-US" sz="2000" b="1"/>
            <a:t> </a:t>
          </a:r>
          <a:r>
            <a:rPr lang="en-US" sz="2400" b="1"/>
            <a:t>K</a:t>
          </a:r>
        </a:p>
      </xdr:txBody>
    </xdr:sp>
    <xdr:clientData/>
  </xdr:twoCellAnchor>
  <xdr:twoCellAnchor>
    <xdr:from>
      <xdr:col>0</xdr:col>
      <xdr:colOff>0</xdr:colOff>
      <xdr:row>6</xdr:row>
      <xdr:rowOff>114301</xdr:rowOff>
    </xdr:from>
    <xdr:to>
      <xdr:col>10</xdr:col>
      <xdr:colOff>57149</xdr:colOff>
      <xdr:row>22</xdr:row>
      <xdr:rowOff>104775</xdr:rowOff>
    </xdr:to>
    <xdr:sp macro="" textlink="">
      <xdr:nvSpPr>
        <xdr:cNvPr id="8" name="Rectangle: Rounded Corners 7">
          <a:extLst>
            <a:ext uri="{FF2B5EF4-FFF2-40B4-BE49-F238E27FC236}">
              <a16:creationId xmlns:a16="http://schemas.microsoft.com/office/drawing/2014/main" id="{ECE4845A-846A-4A18-AB87-24BDF84327EC}"/>
            </a:ext>
          </a:extLst>
        </xdr:cNvPr>
        <xdr:cNvSpPr/>
      </xdr:nvSpPr>
      <xdr:spPr>
        <a:xfrm>
          <a:off x="0" y="1257301"/>
          <a:ext cx="6153149" cy="303847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219074</xdr:colOff>
      <xdr:row>7</xdr:row>
      <xdr:rowOff>171449</xdr:rowOff>
    </xdr:from>
    <xdr:to>
      <xdr:col>9</xdr:col>
      <xdr:colOff>485775</xdr:colOff>
      <xdr:row>22</xdr:row>
      <xdr:rowOff>9525</xdr:rowOff>
    </xdr:to>
    <xdr:graphicFrame macro="">
      <xdr:nvGraphicFramePr>
        <xdr:cNvPr id="9" name="Chart 8">
          <a:extLst>
            <a:ext uri="{FF2B5EF4-FFF2-40B4-BE49-F238E27FC236}">
              <a16:creationId xmlns:a16="http://schemas.microsoft.com/office/drawing/2014/main" id="{050406F5-C62C-406D-A070-3582F57D5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542925</xdr:colOff>
      <xdr:row>9</xdr:row>
      <xdr:rowOff>95250</xdr:rowOff>
    </xdr:from>
    <xdr:to>
      <xdr:col>18</xdr:col>
      <xdr:colOff>447675</xdr:colOff>
      <xdr:row>9</xdr:row>
      <xdr:rowOff>104775</xdr:rowOff>
    </xdr:to>
    <xdr:cxnSp macro="">
      <xdr:nvCxnSpPr>
        <xdr:cNvPr id="12" name="Straight Connector 11">
          <a:extLst>
            <a:ext uri="{FF2B5EF4-FFF2-40B4-BE49-F238E27FC236}">
              <a16:creationId xmlns:a16="http://schemas.microsoft.com/office/drawing/2014/main" id="{4B55674C-F54D-41B5-AF00-A5EDB344D339}"/>
            </a:ext>
          </a:extLst>
        </xdr:cNvPr>
        <xdr:cNvCxnSpPr/>
      </xdr:nvCxnSpPr>
      <xdr:spPr>
        <a:xfrm>
          <a:off x="6638925" y="1809750"/>
          <a:ext cx="47815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542925</xdr:colOff>
      <xdr:row>12</xdr:row>
      <xdr:rowOff>133350</xdr:rowOff>
    </xdr:from>
    <xdr:to>
      <xdr:col>18</xdr:col>
      <xdr:colOff>466725</xdr:colOff>
      <xdr:row>12</xdr:row>
      <xdr:rowOff>142875</xdr:rowOff>
    </xdr:to>
    <xdr:cxnSp macro="">
      <xdr:nvCxnSpPr>
        <xdr:cNvPr id="14" name="Straight Connector 13">
          <a:extLst>
            <a:ext uri="{FF2B5EF4-FFF2-40B4-BE49-F238E27FC236}">
              <a16:creationId xmlns:a16="http://schemas.microsoft.com/office/drawing/2014/main" id="{85CB9C17-8327-4879-9288-5C7DF7655731}"/>
            </a:ext>
          </a:extLst>
        </xdr:cNvPr>
        <xdr:cNvCxnSpPr/>
      </xdr:nvCxnSpPr>
      <xdr:spPr>
        <a:xfrm>
          <a:off x="6638925" y="2419350"/>
          <a:ext cx="48006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561975</xdr:colOff>
      <xdr:row>15</xdr:row>
      <xdr:rowOff>171450</xdr:rowOff>
    </xdr:from>
    <xdr:to>
      <xdr:col>18</xdr:col>
      <xdr:colOff>466725</xdr:colOff>
      <xdr:row>15</xdr:row>
      <xdr:rowOff>180975</xdr:rowOff>
    </xdr:to>
    <xdr:cxnSp macro="">
      <xdr:nvCxnSpPr>
        <xdr:cNvPr id="23" name="Straight Connector 22">
          <a:extLst>
            <a:ext uri="{FF2B5EF4-FFF2-40B4-BE49-F238E27FC236}">
              <a16:creationId xmlns:a16="http://schemas.microsoft.com/office/drawing/2014/main" id="{7A045304-24A1-4F79-BCD3-E9707BB76308}"/>
            </a:ext>
          </a:extLst>
        </xdr:cNvPr>
        <xdr:cNvCxnSpPr/>
      </xdr:nvCxnSpPr>
      <xdr:spPr>
        <a:xfrm>
          <a:off x="6657975" y="3028950"/>
          <a:ext cx="47815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542925</xdr:colOff>
      <xdr:row>19</xdr:row>
      <xdr:rowOff>19050</xdr:rowOff>
    </xdr:from>
    <xdr:to>
      <xdr:col>18</xdr:col>
      <xdr:colOff>447675</xdr:colOff>
      <xdr:row>19</xdr:row>
      <xdr:rowOff>28575</xdr:rowOff>
    </xdr:to>
    <xdr:cxnSp macro="">
      <xdr:nvCxnSpPr>
        <xdr:cNvPr id="24" name="Straight Connector 23">
          <a:extLst>
            <a:ext uri="{FF2B5EF4-FFF2-40B4-BE49-F238E27FC236}">
              <a16:creationId xmlns:a16="http://schemas.microsoft.com/office/drawing/2014/main" id="{21426715-86B6-4375-9C6D-0E618E38FBFF}"/>
            </a:ext>
          </a:extLst>
        </xdr:cNvPr>
        <xdr:cNvCxnSpPr/>
      </xdr:nvCxnSpPr>
      <xdr:spPr>
        <a:xfrm>
          <a:off x="6638925" y="3638550"/>
          <a:ext cx="47815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542925</xdr:colOff>
      <xdr:row>22</xdr:row>
      <xdr:rowOff>57150</xdr:rowOff>
    </xdr:from>
    <xdr:to>
      <xdr:col>18</xdr:col>
      <xdr:colOff>447675</xdr:colOff>
      <xdr:row>22</xdr:row>
      <xdr:rowOff>66675</xdr:rowOff>
    </xdr:to>
    <xdr:cxnSp macro="">
      <xdr:nvCxnSpPr>
        <xdr:cNvPr id="25" name="Straight Connector 24">
          <a:extLst>
            <a:ext uri="{FF2B5EF4-FFF2-40B4-BE49-F238E27FC236}">
              <a16:creationId xmlns:a16="http://schemas.microsoft.com/office/drawing/2014/main" id="{C7F432BD-2DE9-45A5-9E7B-2BCBAC7F3D35}"/>
            </a:ext>
          </a:extLst>
        </xdr:cNvPr>
        <xdr:cNvCxnSpPr/>
      </xdr:nvCxnSpPr>
      <xdr:spPr>
        <a:xfrm>
          <a:off x="6638925" y="4248150"/>
          <a:ext cx="47815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542925</xdr:colOff>
      <xdr:row>25</xdr:row>
      <xdr:rowOff>95250</xdr:rowOff>
    </xdr:from>
    <xdr:to>
      <xdr:col>18</xdr:col>
      <xdr:colOff>447675</xdr:colOff>
      <xdr:row>25</xdr:row>
      <xdr:rowOff>104775</xdr:rowOff>
    </xdr:to>
    <xdr:cxnSp macro="">
      <xdr:nvCxnSpPr>
        <xdr:cNvPr id="26" name="Straight Connector 25">
          <a:extLst>
            <a:ext uri="{FF2B5EF4-FFF2-40B4-BE49-F238E27FC236}">
              <a16:creationId xmlns:a16="http://schemas.microsoft.com/office/drawing/2014/main" id="{0FD6571C-5563-4A6B-8FF7-B66FAB94112B}"/>
            </a:ext>
          </a:extLst>
        </xdr:cNvPr>
        <xdr:cNvCxnSpPr/>
      </xdr:nvCxnSpPr>
      <xdr:spPr>
        <a:xfrm>
          <a:off x="6638925" y="4857750"/>
          <a:ext cx="47815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542925</xdr:colOff>
      <xdr:row>28</xdr:row>
      <xdr:rowOff>133350</xdr:rowOff>
    </xdr:from>
    <xdr:to>
      <xdr:col>18</xdr:col>
      <xdr:colOff>447675</xdr:colOff>
      <xdr:row>28</xdr:row>
      <xdr:rowOff>142875</xdr:rowOff>
    </xdr:to>
    <xdr:cxnSp macro="">
      <xdr:nvCxnSpPr>
        <xdr:cNvPr id="27" name="Straight Connector 26">
          <a:extLst>
            <a:ext uri="{FF2B5EF4-FFF2-40B4-BE49-F238E27FC236}">
              <a16:creationId xmlns:a16="http://schemas.microsoft.com/office/drawing/2014/main" id="{F50535D5-549A-4670-8499-C46AE643FCDB}"/>
            </a:ext>
          </a:extLst>
        </xdr:cNvPr>
        <xdr:cNvCxnSpPr/>
      </xdr:nvCxnSpPr>
      <xdr:spPr>
        <a:xfrm>
          <a:off x="6638925" y="5467350"/>
          <a:ext cx="47815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542925</xdr:colOff>
      <xdr:row>31</xdr:row>
      <xdr:rowOff>171450</xdr:rowOff>
    </xdr:from>
    <xdr:to>
      <xdr:col>18</xdr:col>
      <xdr:colOff>447675</xdr:colOff>
      <xdr:row>31</xdr:row>
      <xdr:rowOff>180975</xdr:rowOff>
    </xdr:to>
    <xdr:cxnSp macro="">
      <xdr:nvCxnSpPr>
        <xdr:cNvPr id="28" name="Straight Connector 27">
          <a:extLst>
            <a:ext uri="{FF2B5EF4-FFF2-40B4-BE49-F238E27FC236}">
              <a16:creationId xmlns:a16="http://schemas.microsoft.com/office/drawing/2014/main" id="{93FF6B36-6458-4640-94D6-587B800AC186}"/>
            </a:ext>
          </a:extLst>
        </xdr:cNvPr>
        <xdr:cNvCxnSpPr/>
      </xdr:nvCxnSpPr>
      <xdr:spPr>
        <a:xfrm>
          <a:off x="6638925" y="6076950"/>
          <a:ext cx="47815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180975</xdr:colOff>
      <xdr:row>8</xdr:row>
      <xdr:rowOff>114300</xdr:rowOff>
    </xdr:from>
    <xdr:to>
      <xdr:col>13</xdr:col>
      <xdr:colOff>247650</xdr:colOff>
      <xdr:row>35</xdr:row>
      <xdr:rowOff>28575</xdr:rowOff>
    </xdr:to>
    <xdr:cxnSp macro="">
      <xdr:nvCxnSpPr>
        <xdr:cNvPr id="30" name="Straight Connector 29">
          <a:extLst>
            <a:ext uri="{FF2B5EF4-FFF2-40B4-BE49-F238E27FC236}">
              <a16:creationId xmlns:a16="http://schemas.microsoft.com/office/drawing/2014/main" id="{604BA564-D29F-4D16-AA9E-3A0894325660}"/>
            </a:ext>
          </a:extLst>
        </xdr:cNvPr>
        <xdr:cNvCxnSpPr/>
      </xdr:nvCxnSpPr>
      <xdr:spPr>
        <a:xfrm>
          <a:off x="8105775" y="1638300"/>
          <a:ext cx="66675" cy="50577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323850</xdr:colOff>
      <xdr:row>8</xdr:row>
      <xdr:rowOff>76200</xdr:rowOff>
    </xdr:from>
    <xdr:to>
      <xdr:col>16</xdr:col>
      <xdr:colOff>381000</xdr:colOff>
      <xdr:row>35</xdr:row>
      <xdr:rowOff>57150</xdr:rowOff>
    </xdr:to>
    <xdr:cxnSp macro="">
      <xdr:nvCxnSpPr>
        <xdr:cNvPr id="35" name="Straight Connector 34">
          <a:extLst>
            <a:ext uri="{FF2B5EF4-FFF2-40B4-BE49-F238E27FC236}">
              <a16:creationId xmlns:a16="http://schemas.microsoft.com/office/drawing/2014/main" id="{861E568A-B736-42C3-B28F-E6AFF5C50A11}"/>
            </a:ext>
          </a:extLst>
        </xdr:cNvPr>
        <xdr:cNvCxnSpPr/>
      </xdr:nvCxnSpPr>
      <xdr:spPr>
        <a:xfrm>
          <a:off x="10077450" y="1600200"/>
          <a:ext cx="57150" cy="51244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533400</xdr:colOff>
      <xdr:row>7</xdr:row>
      <xdr:rowOff>123825</xdr:rowOff>
    </xdr:from>
    <xdr:to>
      <xdr:col>12</xdr:col>
      <xdr:colOff>552449</xdr:colOff>
      <xdr:row>9</xdr:row>
      <xdr:rowOff>38099</xdr:rowOff>
    </xdr:to>
    <xdr:sp macro="" textlink="">
      <xdr:nvSpPr>
        <xdr:cNvPr id="38" name="TextBox 37">
          <a:extLst>
            <a:ext uri="{FF2B5EF4-FFF2-40B4-BE49-F238E27FC236}">
              <a16:creationId xmlns:a16="http://schemas.microsoft.com/office/drawing/2014/main" id="{A15DA0D6-CD4E-422C-A8CF-6201700B38E3}"/>
            </a:ext>
          </a:extLst>
        </xdr:cNvPr>
        <xdr:cNvSpPr txBox="1"/>
      </xdr:nvSpPr>
      <xdr:spPr>
        <a:xfrm>
          <a:off x="6629400" y="1457325"/>
          <a:ext cx="1238249" cy="2952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3">
                  <a:lumMod val="50000"/>
                </a:schemeClr>
              </a:solidFill>
            </a:rPr>
            <a:t>Governorate</a:t>
          </a:r>
        </a:p>
      </xdr:txBody>
    </xdr:sp>
    <xdr:clientData/>
  </xdr:twoCellAnchor>
  <xdr:twoCellAnchor>
    <xdr:from>
      <xdr:col>13</xdr:col>
      <xdr:colOff>333375</xdr:colOff>
      <xdr:row>6</xdr:row>
      <xdr:rowOff>133350</xdr:rowOff>
    </xdr:from>
    <xdr:to>
      <xdr:col>16</xdr:col>
      <xdr:colOff>19050</xdr:colOff>
      <xdr:row>9</xdr:row>
      <xdr:rowOff>95249</xdr:rowOff>
    </xdr:to>
    <xdr:sp macro="" textlink="">
      <xdr:nvSpPr>
        <xdr:cNvPr id="39" name="TextBox 38">
          <a:extLst>
            <a:ext uri="{FF2B5EF4-FFF2-40B4-BE49-F238E27FC236}">
              <a16:creationId xmlns:a16="http://schemas.microsoft.com/office/drawing/2014/main" id="{DC917FF8-7B50-4F04-9FCD-CCB123BBE042}"/>
            </a:ext>
          </a:extLst>
        </xdr:cNvPr>
        <xdr:cNvSpPr txBox="1"/>
      </xdr:nvSpPr>
      <xdr:spPr>
        <a:xfrm>
          <a:off x="8258175" y="1276350"/>
          <a:ext cx="1514475" cy="5333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lumMod val="50000"/>
                </a:schemeClr>
              </a:solidFill>
            </a:rPr>
            <a:t>Number of times requested</a:t>
          </a:r>
        </a:p>
      </xdr:txBody>
    </xdr:sp>
    <xdr:clientData/>
  </xdr:twoCellAnchor>
  <xdr:twoCellAnchor>
    <xdr:from>
      <xdr:col>16</xdr:col>
      <xdr:colOff>457200</xdr:colOff>
      <xdr:row>7</xdr:row>
      <xdr:rowOff>123825</xdr:rowOff>
    </xdr:from>
    <xdr:to>
      <xdr:col>18</xdr:col>
      <xdr:colOff>504825</xdr:colOff>
      <xdr:row>9</xdr:row>
      <xdr:rowOff>57150</xdr:rowOff>
    </xdr:to>
    <xdr:sp macro="" textlink="">
      <xdr:nvSpPr>
        <xdr:cNvPr id="40" name="TextBox 39">
          <a:extLst>
            <a:ext uri="{FF2B5EF4-FFF2-40B4-BE49-F238E27FC236}">
              <a16:creationId xmlns:a16="http://schemas.microsoft.com/office/drawing/2014/main" id="{A478F330-6136-46E7-99B4-028A9E872C53}"/>
            </a:ext>
          </a:extLst>
        </xdr:cNvPr>
        <xdr:cNvSpPr txBox="1"/>
      </xdr:nvSpPr>
      <xdr:spPr>
        <a:xfrm>
          <a:off x="10210800" y="1457325"/>
          <a:ext cx="12668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lumMod val="50000"/>
                </a:schemeClr>
              </a:solidFill>
            </a:rPr>
            <a:t>Total Revenue</a:t>
          </a:r>
        </a:p>
      </xdr:txBody>
    </xdr:sp>
    <xdr:clientData/>
  </xdr:twoCellAnchor>
  <xdr:twoCellAnchor>
    <xdr:from>
      <xdr:col>10</xdr:col>
      <xdr:colOff>514350</xdr:colOff>
      <xdr:row>10</xdr:row>
      <xdr:rowOff>76200</xdr:rowOff>
    </xdr:from>
    <xdr:to>
      <xdr:col>13</xdr:col>
      <xdr:colOff>0</xdr:colOff>
      <xdr:row>12</xdr:row>
      <xdr:rowOff>9525</xdr:rowOff>
    </xdr:to>
    <xdr:sp macro="" textlink="">
      <xdr:nvSpPr>
        <xdr:cNvPr id="41" name="TextBox 40">
          <a:extLst>
            <a:ext uri="{FF2B5EF4-FFF2-40B4-BE49-F238E27FC236}">
              <a16:creationId xmlns:a16="http://schemas.microsoft.com/office/drawing/2014/main" id="{3C630A59-468E-4CD0-9FD4-8B9E8B9B5CD9}"/>
            </a:ext>
          </a:extLst>
        </xdr:cNvPr>
        <xdr:cNvSpPr txBox="1"/>
      </xdr:nvSpPr>
      <xdr:spPr>
        <a:xfrm>
          <a:off x="6610350" y="1981200"/>
          <a:ext cx="13144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2000" b="1">
              <a:solidFill>
                <a:schemeClr val="accent3">
                  <a:lumMod val="50000"/>
                </a:schemeClr>
              </a:solidFill>
            </a:rPr>
            <a:t>القاهرة</a:t>
          </a:r>
          <a:endParaRPr lang="en-US" sz="2000" b="1">
            <a:solidFill>
              <a:schemeClr val="accent3">
                <a:lumMod val="50000"/>
              </a:schemeClr>
            </a:solidFill>
          </a:endParaRPr>
        </a:p>
      </xdr:txBody>
    </xdr:sp>
    <xdr:clientData/>
  </xdr:twoCellAnchor>
  <xdr:twoCellAnchor>
    <xdr:from>
      <xdr:col>11</xdr:col>
      <xdr:colOff>276225</xdr:colOff>
      <xdr:row>13</xdr:row>
      <xdr:rowOff>76200</xdr:rowOff>
    </xdr:from>
    <xdr:to>
      <xdr:col>12</xdr:col>
      <xdr:colOff>590550</xdr:colOff>
      <xdr:row>15</xdr:row>
      <xdr:rowOff>76200</xdr:rowOff>
    </xdr:to>
    <xdr:sp macro="" textlink="">
      <xdr:nvSpPr>
        <xdr:cNvPr id="42" name="TextBox 41">
          <a:extLst>
            <a:ext uri="{FF2B5EF4-FFF2-40B4-BE49-F238E27FC236}">
              <a16:creationId xmlns:a16="http://schemas.microsoft.com/office/drawing/2014/main" id="{AC621792-C445-4177-ABBB-4E7656902AE9}"/>
            </a:ext>
          </a:extLst>
        </xdr:cNvPr>
        <xdr:cNvSpPr txBox="1"/>
      </xdr:nvSpPr>
      <xdr:spPr>
        <a:xfrm>
          <a:off x="6981825" y="2552700"/>
          <a:ext cx="923925"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a:solidFill>
                <a:schemeClr val="accent3">
                  <a:lumMod val="50000"/>
                </a:schemeClr>
              </a:solidFill>
              <a:latin typeface="+mn-lt"/>
              <a:ea typeface="+mn-ea"/>
              <a:cs typeface="+mn-cs"/>
            </a:rPr>
            <a:t>الجيزة</a:t>
          </a:r>
          <a:endParaRPr lang="en-US" sz="2000" b="1">
            <a:solidFill>
              <a:schemeClr val="accent3">
                <a:lumMod val="50000"/>
              </a:schemeClr>
            </a:solidFill>
            <a:latin typeface="+mn-lt"/>
            <a:ea typeface="+mn-ea"/>
            <a:cs typeface="+mn-cs"/>
          </a:endParaRPr>
        </a:p>
      </xdr:txBody>
    </xdr:sp>
    <xdr:clientData/>
  </xdr:twoCellAnchor>
  <xdr:twoCellAnchor>
    <xdr:from>
      <xdr:col>11</xdr:col>
      <xdr:colOff>228600</xdr:colOff>
      <xdr:row>16</xdr:row>
      <xdr:rowOff>66675</xdr:rowOff>
    </xdr:from>
    <xdr:to>
      <xdr:col>13</xdr:col>
      <xdr:colOff>66674</xdr:colOff>
      <xdr:row>18</xdr:row>
      <xdr:rowOff>28575</xdr:rowOff>
    </xdr:to>
    <xdr:sp macro="" textlink="">
      <xdr:nvSpPr>
        <xdr:cNvPr id="45" name="TextBox 44">
          <a:extLst>
            <a:ext uri="{FF2B5EF4-FFF2-40B4-BE49-F238E27FC236}">
              <a16:creationId xmlns:a16="http://schemas.microsoft.com/office/drawing/2014/main" id="{8B1D612A-DBD5-40A6-93A7-D5B1CED69A48}"/>
            </a:ext>
          </a:extLst>
        </xdr:cNvPr>
        <xdr:cNvSpPr txBox="1"/>
      </xdr:nvSpPr>
      <xdr:spPr>
        <a:xfrm>
          <a:off x="6934200" y="3114675"/>
          <a:ext cx="1057274"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a:solidFill>
                <a:schemeClr val="accent3">
                  <a:lumMod val="50000"/>
                </a:schemeClr>
              </a:solidFill>
              <a:latin typeface="+mn-lt"/>
              <a:ea typeface="+mn-ea"/>
              <a:cs typeface="+mn-cs"/>
            </a:rPr>
            <a:t>القليوبية</a:t>
          </a:r>
          <a:endParaRPr lang="en-US" sz="2000" b="1">
            <a:solidFill>
              <a:schemeClr val="accent3">
                <a:lumMod val="50000"/>
              </a:schemeClr>
            </a:solidFill>
            <a:latin typeface="+mn-lt"/>
            <a:ea typeface="+mn-ea"/>
            <a:cs typeface="+mn-cs"/>
          </a:endParaRPr>
        </a:p>
      </xdr:txBody>
    </xdr:sp>
    <xdr:clientData/>
  </xdr:twoCellAnchor>
  <xdr:twoCellAnchor>
    <xdr:from>
      <xdr:col>11</xdr:col>
      <xdr:colOff>228601</xdr:colOff>
      <xdr:row>19</xdr:row>
      <xdr:rowOff>180975</xdr:rowOff>
    </xdr:from>
    <xdr:to>
      <xdr:col>12</xdr:col>
      <xdr:colOff>600075</xdr:colOff>
      <xdr:row>21</xdr:row>
      <xdr:rowOff>180975</xdr:rowOff>
    </xdr:to>
    <xdr:sp macro="" textlink="">
      <xdr:nvSpPr>
        <xdr:cNvPr id="46" name="TextBox 45">
          <a:extLst>
            <a:ext uri="{FF2B5EF4-FFF2-40B4-BE49-F238E27FC236}">
              <a16:creationId xmlns:a16="http://schemas.microsoft.com/office/drawing/2014/main" id="{A9C30ADA-0620-431D-B519-FAD727C0FC47}"/>
            </a:ext>
          </a:extLst>
        </xdr:cNvPr>
        <xdr:cNvSpPr txBox="1"/>
      </xdr:nvSpPr>
      <xdr:spPr>
        <a:xfrm>
          <a:off x="6934201" y="3800475"/>
          <a:ext cx="981074"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a:solidFill>
                <a:schemeClr val="accent3">
                  <a:lumMod val="50000"/>
                </a:schemeClr>
              </a:solidFill>
              <a:latin typeface="+mn-lt"/>
              <a:ea typeface="+mn-ea"/>
              <a:cs typeface="+mn-cs"/>
            </a:rPr>
            <a:t>السويس</a:t>
          </a:r>
          <a:endParaRPr lang="en-US" sz="2000" b="1">
            <a:solidFill>
              <a:schemeClr val="accent3">
                <a:lumMod val="50000"/>
              </a:schemeClr>
            </a:solidFill>
            <a:latin typeface="+mn-lt"/>
            <a:ea typeface="+mn-ea"/>
            <a:cs typeface="+mn-cs"/>
          </a:endParaRPr>
        </a:p>
      </xdr:txBody>
    </xdr:sp>
    <xdr:clientData/>
  </xdr:twoCellAnchor>
  <xdr:twoCellAnchor>
    <xdr:from>
      <xdr:col>11</xdr:col>
      <xdr:colOff>114301</xdr:colOff>
      <xdr:row>23</xdr:row>
      <xdr:rowOff>9525</xdr:rowOff>
    </xdr:from>
    <xdr:to>
      <xdr:col>13</xdr:col>
      <xdr:colOff>152401</xdr:colOff>
      <xdr:row>24</xdr:row>
      <xdr:rowOff>152400</xdr:rowOff>
    </xdr:to>
    <xdr:sp macro="" textlink="">
      <xdr:nvSpPr>
        <xdr:cNvPr id="47" name="TextBox 46">
          <a:extLst>
            <a:ext uri="{FF2B5EF4-FFF2-40B4-BE49-F238E27FC236}">
              <a16:creationId xmlns:a16="http://schemas.microsoft.com/office/drawing/2014/main" id="{F676FE68-A5FA-4E4A-855F-2568360A4026}"/>
            </a:ext>
          </a:extLst>
        </xdr:cNvPr>
        <xdr:cNvSpPr txBox="1"/>
      </xdr:nvSpPr>
      <xdr:spPr>
        <a:xfrm>
          <a:off x="6819901" y="4391025"/>
          <a:ext cx="125730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a:solidFill>
                <a:schemeClr val="accent3">
                  <a:lumMod val="50000"/>
                </a:schemeClr>
              </a:solidFill>
              <a:latin typeface="+mn-lt"/>
              <a:ea typeface="+mn-ea"/>
              <a:cs typeface="+mn-cs"/>
            </a:rPr>
            <a:t>الاسكندرية</a:t>
          </a:r>
          <a:endParaRPr lang="en-US" sz="2000" b="1">
            <a:solidFill>
              <a:schemeClr val="accent3">
                <a:lumMod val="50000"/>
              </a:schemeClr>
            </a:solidFill>
            <a:latin typeface="+mn-lt"/>
            <a:ea typeface="+mn-ea"/>
            <a:cs typeface="+mn-cs"/>
          </a:endParaRPr>
        </a:p>
      </xdr:txBody>
    </xdr:sp>
    <xdr:clientData/>
  </xdr:twoCellAnchor>
  <xdr:twoCellAnchor>
    <xdr:from>
      <xdr:col>11</xdr:col>
      <xdr:colOff>19050</xdr:colOff>
      <xdr:row>26</xdr:row>
      <xdr:rowOff>9525</xdr:rowOff>
    </xdr:from>
    <xdr:to>
      <xdr:col>13</xdr:col>
      <xdr:colOff>133350</xdr:colOff>
      <xdr:row>28</xdr:row>
      <xdr:rowOff>28575</xdr:rowOff>
    </xdr:to>
    <xdr:sp macro="" textlink="">
      <xdr:nvSpPr>
        <xdr:cNvPr id="48" name="TextBox 47">
          <a:extLst>
            <a:ext uri="{FF2B5EF4-FFF2-40B4-BE49-F238E27FC236}">
              <a16:creationId xmlns:a16="http://schemas.microsoft.com/office/drawing/2014/main" id="{06D4BCA2-F549-4FC8-B17E-556C7BAAB291}"/>
            </a:ext>
          </a:extLst>
        </xdr:cNvPr>
        <xdr:cNvSpPr txBox="1"/>
      </xdr:nvSpPr>
      <xdr:spPr>
        <a:xfrm>
          <a:off x="6724650" y="4962525"/>
          <a:ext cx="1333500"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a:solidFill>
                <a:schemeClr val="accent3">
                  <a:lumMod val="50000"/>
                </a:schemeClr>
              </a:solidFill>
              <a:latin typeface="+mn-lt"/>
              <a:ea typeface="+mn-ea"/>
              <a:cs typeface="+mn-cs"/>
            </a:rPr>
            <a:t>البحر</a:t>
          </a:r>
          <a:r>
            <a:rPr lang="ar-EG" sz="1100" baseline="0"/>
            <a:t> </a:t>
          </a:r>
          <a:r>
            <a:rPr lang="ar-EG" sz="2000" b="1">
              <a:solidFill>
                <a:schemeClr val="accent3">
                  <a:lumMod val="50000"/>
                </a:schemeClr>
              </a:solidFill>
              <a:latin typeface="+mn-lt"/>
              <a:ea typeface="+mn-ea"/>
              <a:cs typeface="+mn-cs"/>
            </a:rPr>
            <a:t>الاحمر</a:t>
          </a:r>
          <a:endParaRPr lang="en-US" sz="2000" b="1">
            <a:solidFill>
              <a:schemeClr val="accent3">
                <a:lumMod val="50000"/>
              </a:schemeClr>
            </a:solidFill>
            <a:latin typeface="+mn-lt"/>
            <a:ea typeface="+mn-ea"/>
            <a:cs typeface="+mn-cs"/>
          </a:endParaRPr>
        </a:p>
      </xdr:txBody>
    </xdr:sp>
    <xdr:clientData/>
  </xdr:twoCellAnchor>
  <xdr:twoCellAnchor>
    <xdr:from>
      <xdr:col>11</xdr:col>
      <xdr:colOff>219076</xdr:colOff>
      <xdr:row>29</xdr:row>
      <xdr:rowOff>38100</xdr:rowOff>
    </xdr:from>
    <xdr:to>
      <xdr:col>13</xdr:col>
      <xdr:colOff>66676</xdr:colOff>
      <xdr:row>31</xdr:row>
      <xdr:rowOff>47625</xdr:rowOff>
    </xdr:to>
    <xdr:sp macro="" textlink="">
      <xdr:nvSpPr>
        <xdr:cNvPr id="49" name="TextBox 48">
          <a:extLst>
            <a:ext uri="{FF2B5EF4-FFF2-40B4-BE49-F238E27FC236}">
              <a16:creationId xmlns:a16="http://schemas.microsoft.com/office/drawing/2014/main" id="{837DCA9B-FAFA-411D-B2E9-CFCD8FD8E7D7}"/>
            </a:ext>
          </a:extLst>
        </xdr:cNvPr>
        <xdr:cNvSpPr txBox="1"/>
      </xdr:nvSpPr>
      <xdr:spPr>
        <a:xfrm>
          <a:off x="6924676" y="5562600"/>
          <a:ext cx="1066800"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a:solidFill>
                <a:schemeClr val="accent3">
                  <a:lumMod val="50000"/>
                </a:schemeClr>
              </a:solidFill>
              <a:latin typeface="+mn-lt"/>
              <a:ea typeface="+mn-ea"/>
              <a:cs typeface="+mn-cs"/>
            </a:rPr>
            <a:t>مطروح</a:t>
          </a:r>
          <a:endParaRPr lang="en-US" sz="2000" b="1">
            <a:solidFill>
              <a:schemeClr val="accent3">
                <a:lumMod val="50000"/>
              </a:schemeClr>
            </a:solidFill>
            <a:latin typeface="+mn-lt"/>
            <a:ea typeface="+mn-ea"/>
            <a:cs typeface="+mn-cs"/>
          </a:endParaRPr>
        </a:p>
      </xdr:txBody>
    </xdr:sp>
    <xdr:clientData/>
  </xdr:twoCellAnchor>
  <xdr:twoCellAnchor>
    <xdr:from>
      <xdr:col>11</xdr:col>
      <xdr:colOff>257175</xdr:colOff>
      <xdr:row>32</xdr:row>
      <xdr:rowOff>123825</xdr:rowOff>
    </xdr:from>
    <xdr:to>
      <xdr:col>12</xdr:col>
      <xdr:colOff>419100</xdr:colOff>
      <xdr:row>34</xdr:row>
      <xdr:rowOff>104775</xdr:rowOff>
    </xdr:to>
    <xdr:sp macro="" textlink="">
      <xdr:nvSpPr>
        <xdr:cNvPr id="55" name="TextBox 54">
          <a:extLst>
            <a:ext uri="{FF2B5EF4-FFF2-40B4-BE49-F238E27FC236}">
              <a16:creationId xmlns:a16="http://schemas.microsoft.com/office/drawing/2014/main" id="{54D618E6-EAA3-41EB-BCB7-516EEBDA99A8}"/>
            </a:ext>
          </a:extLst>
        </xdr:cNvPr>
        <xdr:cNvSpPr txBox="1"/>
      </xdr:nvSpPr>
      <xdr:spPr>
        <a:xfrm>
          <a:off x="6962775" y="6219825"/>
          <a:ext cx="771525"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000" b="1">
              <a:solidFill>
                <a:schemeClr val="accent3">
                  <a:lumMod val="50000"/>
                </a:schemeClr>
              </a:solidFill>
              <a:latin typeface="+mn-lt"/>
              <a:ea typeface="+mn-ea"/>
              <a:cs typeface="+mn-cs"/>
            </a:rPr>
            <a:t>اسيوط</a:t>
          </a:r>
          <a:endParaRPr lang="en-US" sz="2000" b="1">
            <a:solidFill>
              <a:schemeClr val="accent3">
                <a:lumMod val="50000"/>
              </a:schemeClr>
            </a:solidFill>
            <a:latin typeface="+mn-lt"/>
            <a:ea typeface="+mn-ea"/>
            <a:cs typeface="+mn-cs"/>
          </a:endParaRPr>
        </a:p>
      </xdr:txBody>
    </xdr:sp>
    <xdr:clientData/>
  </xdr:twoCellAnchor>
  <xdr:twoCellAnchor>
    <xdr:from>
      <xdr:col>14</xdr:col>
      <xdr:colOff>133350</xdr:colOff>
      <xdr:row>10</xdr:row>
      <xdr:rowOff>47625</xdr:rowOff>
    </xdr:from>
    <xdr:to>
      <xdr:col>15</xdr:col>
      <xdr:colOff>304800</xdr:colOff>
      <xdr:row>12</xdr:row>
      <xdr:rowOff>19050</xdr:rowOff>
    </xdr:to>
    <xdr:sp macro="" textlink="Sheet5!N6">
      <xdr:nvSpPr>
        <xdr:cNvPr id="56" name="TextBox 55">
          <a:extLst>
            <a:ext uri="{FF2B5EF4-FFF2-40B4-BE49-F238E27FC236}">
              <a16:creationId xmlns:a16="http://schemas.microsoft.com/office/drawing/2014/main" id="{E2588B44-4EDC-4475-A94F-03EB6B1CB0AE}"/>
            </a:ext>
          </a:extLst>
        </xdr:cNvPr>
        <xdr:cNvSpPr txBox="1"/>
      </xdr:nvSpPr>
      <xdr:spPr>
        <a:xfrm>
          <a:off x="8667750" y="1952625"/>
          <a:ext cx="7810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63FEED-1C45-4C11-BAE3-36F71087261B}" type="TxLink">
            <a:rPr lang="en-US" sz="1800" b="1" i="0" u="none" strike="noStrike">
              <a:solidFill>
                <a:schemeClr val="accent3">
                  <a:lumMod val="50000"/>
                </a:schemeClr>
              </a:solidFill>
              <a:latin typeface="Calibri"/>
              <a:cs typeface="Calibri"/>
            </a:rPr>
            <a:t>50</a:t>
          </a:fld>
          <a:endParaRPr lang="en-US" sz="1800" b="1">
            <a:solidFill>
              <a:schemeClr val="accent3">
                <a:lumMod val="50000"/>
              </a:schemeClr>
            </a:solidFill>
          </a:endParaRPr>
        </a:p>
      </xdr:txBody>
    </xdr:sp>
    <xdr:clientData/>
  </xdr:twoCellAnchor>
  <xdr:twoCellAnchor>
    <xdr:from>
      <xdr:col>16</xdr:col>
      <xdr:colOff>552448</xdr:colOff>
      <xdr:row>10</xdr:row>
      <xdr:rowOff>57151</xdr:rowOff>
    </xdr:from>
    <xdr:to>
      <xdr:col>18</xdr:col>
      <xdr:colOff>590549</xdr:colOff>
      <xdr:row>12</xdr:row>
      <xdr:rowOff>95251</xdr:rowOff>
    </xdr:to>
    <xdr:sp macro="" textlink="Sheet5!O6">
      <xdr:nvSpPr>
        <xdr:cNvPr id="57" name="TextBox 56">
          <a:extLst>
            <a:ext uri="{FF2B5EF4-FFF2-40B4-BE49-F238E27FC236}">
              <a16:creationId xmlns:a16="http://schemas.microsoft.com/office/drawing/2014/main" id="{4F8A3C42-BBF7-4729-89CC-2A152ADBE52F}"/>
            </a:ext>
          </a:extLst>
        </xdr:cNvPr>
        <xdr:cNvSpPr txBox="1"/>
      </xdr:nvSpPr>
      <xdr:spPr>
        <a:xfrm>
          <a:off x="10306048" y="1962151"/>
          <a:ext cx="1257301"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A01C860-BE48-45AB-B43D-7C24147D3DC3}" type="TxLink">
            <a:rPr lang="en-US" sz="1800" b="1" i="0" u="none" strike="noStrike">
              <a:solidFill>
                <a:schemeClr val="accent3">
                  <a:lumMod val="50000"/>
                </a:schemeClr>
              </a:solidFill>
              <a:latin typeface="Calibri"/>
              <a:ea typeface="+mn-ea"/>
              <a:cs typeface="Calibri"/>
            </a:rPr>
            <a:pPr marL="0" indent="0"/>
            <a:t> 525,556 </a:t>
          </a:fld>
          <a:r>
            <a:rPr lang="en-US" sz="1800" b="1" i="0" u="none" strike="noStrike">
              <a:solidFill>
                <a:schemeClr val="accent3">
                  <a:lumMod val="50000"/>
                </a:schemeClr>
              </a:solidFill>
              <a:latin typeface="Calibri"/>
              <a:ea typeface="+mn-ea"/>
              <a:cs typeface="Calibri"/>
            </a:rPr>
            <a:t>K</a:t>
          </a:r>
        </a:p>
        <a:p>
          <a:pPr marL="0" indent="0"/>
          <a:endParaRPr lang="en-US" sz="1800" b="1" i="0" u="none" strike="noStrike">
            <a:solidFill>
              <a:schemeClr val="accent3">
                <a:lumMod val="50000"/>
              </a:schemeClr>
            </a:solidFill>
            <a:latin typeface="Calibri"/>
            <a:ea typeface="+mn-ea"/>
            <a:cs typeface="Calibri"/>
          </a:endParaRPr>
        </a:p>
      </xdr:txBody>
    </xdr:sp>
    <xdr:clientData/>
  </xdr:twoCellAnchor>
  <xdr:twoCellAnchor>
    <xdr:from>
      <xdr:col>14</xdr:col>
      <xdr:colOff>152400</xdr:colOff>
      <xdr:row>13</xdr:row>
      <xdr:rowOff>85725</xdr:rowOff>
    </xdr:from>
    <xdr:to>
      <xdr:col>15</xdr:col>
      <xdr:colOff>390525</xdr:colOff>
      <xdr:row>15</xdr:row>
      <xdr:rowOff>9525</xdr:rowOff>
    </xdr:to>
    <xdr:sp macro="" textlink="">
      <xdr:nvSpPr>
        <xdr:cNvPr id="58" name="TextBox 57">
          <a:extLst>
            <a:ext uri="{FF2B5EF4-FFF2-40B4-BE49-F238E27FC236}">
              <a16:creationId xmlns:a16="http://schemas.microsoft.com/office/drawing/2014/main" id="{2B838EDE-FDC5-4EC5-B9B5-52B844F857BA}"/>
            </a:ext>
          </a:extLst>
        </xdr:cNvPr>
        <xdr:cNvSpPr txBox="1"/>
      </xdr:nvSpPr>
      <xdr:spPr>
        <a:xfrm>
          <a:off x="8686800" y="2562225"/>
          <a:ext cx="84772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a:solidFill>
                <a:schemeClr val="accent3">
                  <a:lumMod val="50000"/>
                </a:schemeClr>
              </a:solidFill>
              <a:latin typeface="Calibri"/>
              <a:ea typeface="+mn-ea"/>
              <a:cs typeface="Calibri"/>
            </a:rPr>
            <a:t>23</a:t>
          </a:r>
        </a:p>
      </xdr:txBody>
    </xdr:sp>
    <xdr:clientData/>
  </xdr:twoCellAnchor>
  <xdr:twoCellAnchor>
    <xdr:from>
      <xdr:col>14</xdr:col>
      <xdr:colOff>171450</xdr:colOff>
      <xdr:row>16</xdr:row>
      <xdr:rowOff>114300</xdr:rowOff>
    </xdr:from>
    <xdr:to>
      <xdr:col>15</xdr:col>
      <xdr:colOff>161925</xdr:colOff>
      <xdr:row>18</xdr:row>
      <xdr:rowOff>95250</xdr:rowOff>
    </xdr:to>
    <xdr:sp macro="" textlink="Sheet5!N10">
      <xdr:nvSpPr>
        <xdr:cNvPr id="60" name="TextBox 59">
          <a:extLst>
            <a:ext uri="{FF2B5EF4-FFF2-40B4-BE49-F238E27FC236}">
              <a16:creationId xmlns:a16="http://schemas.microsoft.com/office/drawing/2014/main" id="{744817C6-A748-4DFC-8737-E369EB6FC5A9}"/>
            </a:ext>
          </a:extLst>
        </xdr:cNvPr>
        <xdr:cNvSpPr txBox="1"/>
      </xdr:nvSpPr>
      <xdr:spPr>
        <a:xfrm>
          <a:off x="8705850" y="3162300"/>
          <a:ext cx="600075"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6C7758-B6C9-4A2F-9B2F-E4E56DBBE888}" type="TxLink">
            <a:rPr lang="en-US" sz="1800" b="1" i="0" u="none" strike="noStrike">
              <a:solidFill>
                <a:schemeClr val="accent3">
                  <a:lumMod val="50000"/>
                </a:schemeClr>
              </a:solidFill>
              <a:latin typeface="Calibri"/>
              <a:ea typeface="+mn-ea"/>
              <a:cs typeface="Calibri"/>
            </a:rPr>
            <a:pPr marL="0" indent="0"/>
            <a:t>11</a:t>
          </a:fld>
          <a:endParaRPr lang="en-US" sz="1800" b="1" i="0" u="none" strike="noStrike">
            <a:solidFill>
              <a:schemeClr val="accent3">
                <a:lumMod val="50000"/>
              </a:schemeClr>
            </a:solidFill>
            <a:latin typeface="Calibri"/>
            <a:ea typeface="+mn-ea"/>
            <a:cs typeface="Calibri"/>
          </a:endParaRPr>
        </a:p>
      </xdr:txBody>
    </xdr:sp>
    <xdr:clientData/>
  </xdr:twoCellAnchor>
  <xdr:twoCellAnchor>
    <xdr:from>
      <xdr:col>16</xdr:col>
      <xdr:colOff>523875</xdr:colOff>
      <xdr:row>13</xdr:row>
      <xdr:rowOff>38099</xdr:rowOff>
    </xdr:from>
    <xdr:to>
      <xdr:col>18</xdr:col>
      <xdr:colOff>581024</xdr:colOff>
      <xdr:row>15</xdr:row>
      <xdr:rowOff>133350</xdr:rowOff>
    </xdr:to>
    <xdr:sp macro="" textlink="Sheet5!O7">
      <xdr:nvSpPr>
        <xdr:cNvPr id="61" name="TextBox 60">
          <a:extLst>
            <a:ext uri="{FF2B5EF4-FFF2-40B4-BE49-F238E27FC236}">
              <a16:creationId xmlns:a16="http://schemas.microsoft.com/office/drawing/2014/main" id="{BA205CCF-C899-4BCE-8491-27B32436327B}"/>
            </a:ext>
          </a:extLst>
        </xdr:cNvPr>
        <xdr:cNvSpPr txBox="1"/>
      </xdr:nvSpPr>
      <xdr:spPr>
        <a:xfrm>
          <a:off x="10277475" y="2514599"/>
          <a:ext cx="1276349" cy="476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191E33A-4618-4290-BFC6-AB1D53877944}" type="TxLink">
            <a:rPr lang="en-US" sz="1800" b="1" i="0" u="none" strike="noStrike">
              <a:solidFill>
                <a:schemeClr val="accent3">
                  <a:lumMod val="50000"/>
                </a:schemeClr>
              </a:solidFill>
              <a:latin typeface="Calibri"/>
              <a:ea typeface="+mn-ea"/>
              <a:cs typeface="Calibri"/>
            </a:rPr>
            <a:pPr marL="0" indent="0"/>
            <a:t> 245,908 </a:t>
          </a:fld>
          <a:r>
            <a:rPr lang="en-US" sz="1800" b="1" i="0" u="none" strike="noStrike">
              <a:solidFill>
                <a:schemeClr val="accent3">
                  <a:lumMod val="50000"/>
                </a:schemeClr>
              </a:solidFill>
              <a:latin typeface="Calibri"/>
              <a:ea typeface="+mn-ea"/>
              <a:cs typeface="Calibri"/>
            </a:rPr>
            <a:t>K</a:t>
          </a:r>
        </a:p>
      </xdr:txBody>
    </xdr:sp>
    <xdr:clientData/>
  </xdr:twoCellAnchor>
  <xdr:twoCellAnchor>
    <xdr:from>
      <xdr:col>16</xdr:col>
      <xdr:colOff>600075</xdr:colOff>
      <xdr:row>16</xdr:row>
      <xdr:rowOff>95250</xdr:rowOff>
    </xdr:from>
    <xdr:to>
      <xdr:col>18</xdr:col>
      <xdr:colOff>504825</xdr:colOff>
      <xdr:row>18</xdr:row>
      <xdr:rowOff>85725</xdr:rowOff>
    </xdr:to>
    <xdr:sp macro="" textlink="Sheet5!O10">
      <xdr:nvSpPr>
        <xdr:cNvPr id="62" name="TextBox 61">
          <a:extLst>
            <a:ext uri="{FF2B5EF4-FFF2-40B4-BE49-F238E27FC236}">
              <a16:creationId xmlns:a16="http://schemas.microsoft.com/office/drawing/2014/main" id="{4EBE9D0A-88CC-4B1B-913D-F65CBF6A7199}"/>
            </a:ext>
          </a:extLst>
        </xdr:cNvPr>
        <xdr:cNvSpPr txBox="1"/>
      </xdr:nvSpPr>
      <xdr:spPr>
        <a:xfrm>
          <a:off x="10353675" y="3143250"/>
          <a:ext cx="1123950"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6CF4FB1-ED0F-4BA1-BBA4-0D95D41E4F19}" type="TxLink">
            <a:rPr lang="en-US" sz="1800" b="1" i="0" u="none" strike="noStrike">
              <a:solidFill>
                <a:schemeClr val="accent3">
                  <a:lumMod val="50000"/>
                </a:schemeClr>
              </a:solidFill>
              <a:latin typeface="Calibri"/>
              <a:ea typeface="+mn-ea"/>
              <a:cs typeface="Calibri"/>
            </a:rPr>
            <a:pPr marL="0" indent="0"/>
            <a:t> 63,101 </a:t>
          </a:fld>
          <a:r>
            <a:rPr lang="en-US" sz="1800" b="1" i="0" u="none" strike="noStrike">
              <a:solidFill>
                <a:schemeClr val="accent3">
                  <a:lumMod val="50000"/>
                </a:schemeClr>
              </a:solidFill>
              <a:latin typeface="Calibri"/>
              <a:ea typeface="+mn-ea"/>
              <a:cs typeface="Calibri"/>
            </a:rPr>
            <a:t>K</a:t>
          </a:r>
        </a:p>
      </xdr:txBody>
    </xdr:sp>
    <xdr:clientData/>
  </xdr:twoCellAnchor>
  <xdr:twoCellAnchor>
    <xdr:from>
      <xdr:col>14</xdr:col>
      <xdr:colOff>238125</xdr:colOff>
      <xdr:row>19</xdr:row>
      <xdr:rowOff>152400</xdr:rowOff>
    </xdr:from>
    <xdr:to>
      <xdr:col>15</xdr:col>
      <xdr:colOff>285750</xdr:colOff>
      <xdr:row>21</xdr:row>
      <xdr:rowOff>114300</xdr:rowOff>
    </xdr:to>
    <xdr:sp macro="" textlink="Sheet5!N11">
      <xdr:nvSpPr>
        <xdr:cNvPr id="63" name="TextBox 62">
          <a:extLst>
            <a:ext uri="{FF2B5EF4-FFF2-40B4-BE49-F238E27FC236}">
              <a16:creationId xmlns:a16="http://schemas.microsoft.com/office/drawing/2014/main" id="{770C6C76-0D4F-4C91-8A05-B0217E5F061C}"/>
            </a:ext>
          </a:extLst>
        </xdr:cNvPr>
        <xdr:cNvSpPr txBox="1"/>
      </xdr:nvSpPr>
      <xdr:spPr>
        <a:xfrm>
          <a:off x="8772525" y="3771900"/>
          <a:ext cx="65722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4D25AE0-F582-4700-A24E-5548F6447640}" type="TxLink">
            <a:rPr lang="en-US" sz="1800" b="1" i="0" u="none" strike="noStrike">
              <a:solidFill>
                <a:schemeClr val="accent3">
                  <a:lumMod val="50000"/>
                </a:schemeClr>
              </a:solidFill>
              <a:latin typeface="Calibri"/>
              <a:ea typeface="+mn-ea"/>
              <a:cs typeface="Calibri"/>
            </a:rPr>
            <a:pPr marL="0" indent="0"/>
            <a:t>8</a:t>
          </a:fld>
          <a:endParaRPr lang="en-US" sz="1800" b="1" i="0" u="none" strike="noStrike">
            <a:solidFill>
              <a:schemeClr val="accent3">
                <a:lumMod val="50000"/>
              </a:schemeClr>
            </a:solidFill>
            <a:latin typeface="Calibri"/>
            <a:ea typeface="+mn-ea"/>
            <a:cs typeface="Calibri"/>
          </a:endParaRPr>
        </a:p>
      </xdr:txBody>
    </xdr:sp>
    <xdr:clientData/>
  </xdr:twoCellAnchor>
  <xdr:twoCellAnchor>
    <xdr:from>
      <xdr:col>16</xdr:col>
      <xdr:colOff>609599</xdr:colOff>
      <xdr:row>19</xdr:row>
      <xdr:rowOff>171450</xdr:rowOff>
    </xdr:from>
    <xdr:to>
      <xdr:col>18</xdr:col>
      <xdr:colOff>600074</xdr:colOff>
      <xdr:row>22</xdr:row>
      <xdr:rowOff>57150</xdr:rowOff>
    </xdr:to>
    <xdr:sp macro="" textlink="">
      <xdr:nvSpPr>
        <xdr:cNvPr id="64" name="TextBox 63">
          <a:extLst>
            <a:ext uri="{FF2B5EF4-FFF2-40B4-BE49-F238E27FC236}">
              <a16:creationId xmlns:a16="http://schemas.microsoft.com/office/drawing/2014/main" id="{4E841D23-C0EA-452F-8545-F11C7D88BE0F}"/>
            </a:ext>
          </a:extLst>
        </xdr:cNvPr>
        <xdr:cNvSpPr txBox="1"/>
      </xdr:nvSpPr>
      <xdr:spPr>
        <a:xfrm>
          <a:off x="10363199" y="3790950"/>
          <a:ext cx="1209675"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a:solidFill>
                <a:schemeClr val="accent3">
                  <a:lumMod val="50000"/>
                </a:schemeClr>
              </a:solidFill>
              <a:latin typeface="Calibri"/>
              <a:ea typeface="+mn-ea"/>
              <a:cs typeface="Calibri"/>
            </a:rPr>
            <a:t> 62,521 K</a:t>
          </a:r>
        </a:p>
      </xdr:txBody>
    </xdr:sp>
    <xdr:clientData/>
  </xdr:twoCellAnchor>
  <xdr:twoCellAnchor>
    <xdr:from>
      <xdr:col>14</xdr:col>
      <xdr:colOff>276226</xdr:colOff>
      <xdr:row>23</xdr:row>
      <xdr:rowOff>28575</xdr:rowOff>
    </xdr:from>
    <xdr:to>
      <xdr:col>15</xdr:col>
      <xdr:colOff>457200</xdr:colOff>
      <xdr:row>24</xdr:row>
      <xdr:rowOff>142875</xdr:rowOff>
    </xdr:to>
    <xdr:sp macro="" textlink="Sheet5!N12">
      <xdr:nvSpPr>
        <xdr:cNvPr id="65" name="TextBox 64">
          <a:extLst>
            <a:ext uri="{FF2B5EF4-FFF2-40B4-BE49-F238E27FC236}">
              <a16:creationId xmlns:a16="http://schemas.microsoft.com/office/drawing/2014/main" id="{E9AB3B1F-EDBD-495D-B14E-9FC0A73AD8C6}"/>
            </a:ext>
          </a:extLst>
        </xdr:cNvPr>
        <xdr:cNvSpPr txBox="1"/>
      </xdr:nvSpPr>
      <xdr:spPr>
        <a:xfrm>
          <a:off x="8810626" y="4410075"/>
          <a:ext cx="790574"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5E520C-8FE1-4439-BE56-73DBC4964FCA}" type="TxLink">
            <a:rPr lang="en-US" sz="1800" b="1" i="0" u="none" strike="noStrike">
              <a:solidFill>
                <a:schemeClr val="accent3">
                  <a:lumMod val="50000"/>
                </a:schemeClr>
              </a:solidFill>
              <a:latin typeface="Calibri"/>
              <a:ea typeface="+mn-ea"/>
              <a:cs typeface="Calibri"/>
            </a:rPr>
            <a:pPr marL="0" indent="0"/>
            <a:t>5</a:t>
          </a:fld>
          <a:endParaRPr lang="en-US" sz="1800" b="1" i="0" u="none" strike="noStrike">
            <a:solidFill>
              <a:schemeClr val="accent3">
                <a:lumMod val="50000"/>
              </a:schemeClr>
            </a:solidFill>
            <a:latin typeface="Calibri"/>
            <a:ea typeface="+mn-ea"/>
            <a:cs typeface="Calibri"/>
          </a:endParaRPr>
        </a:p>
      </xdr:txBody>
    </xdr:sp>
    <xdr:clientData/>
  </xdr:twoCellAnchor>
  <xdr:twoCellAnchor>
    <xdr:from>
      <xdr:col>17</xdr:col>
      <xdr:colOff>47624</xdr:colOff>
      <xdr:row>23</xdr:row>
      <xdr:rowOff>38101</xdr:rowOff>
    </xdr:from>
    <xdr:to>
      <xdr:col>18</xdr:col>
      <xdr:colOff>514349</xdr:colOff>
      <xdr:row>25</xdr:row>
      <xdr:rowOff>9525</xdr:rowOff>
    </xdr:to>
    <xdr:sp macro="" textlink="Sheet5!O12">
      <xdr:nvSpPr>
        <xdr:cNvPr id="66" name="TextBox 65">
          <a:extLst>
            <a:ext uri="{FF2B5EF4-FFF2-40B4-BE49-F238E27FC236}">
              <a16:creationId xmlns:a16="http://schemas.microsoft.com/office/drawing/2014/main" id="{375C5645-0AD0-461A-8253-0F5B90585E71}"/>
            </a:ext>
          </a:extLst>
        </xdr:cNvPr>
        <xdr:cNvSpPr txBox="1"/>
      </xdr:nvSpPr>
      <xdr:spPr>
        <a:xfrm>
          <a:off x="10410824" y="4419601"/>
          <a:ext cx="1076325" cy="352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2315FE-499B-4499-809C-D1D9DD55B6C5}" type="TxLink">
            <a:rPr lang="en-US" sz="1800" b="1" i="0" u="none" strike="noStrike">
              <a:solidFill>
                <a:schemeClr val="accent3">
                  <a:lumMod val="50000"/>
                </a:schemeClr>
              </a:solidFill>
              <a:latin typeface="Calibri"/>
              <a:ea typeface="+mn-ea"/>
              <a:cs typeface="Calibri"/>
            </a:rPr>
            <a:pPr marL="0" indent="0"/>
            <a:t> 54,762 </a:t>
          </a:fld>
          <a:r>
            <a:rPr lang="en-US" sz="1800" b="1" i="0" u="none" strike="noStrike">
              <a:solidFill>
                <a:schemeClr val="accent3">
                  <a:lumMod val="50000"/>
                </a:schemeClr>
              </a:solidFill>
              <a:latin typeface="Calibri"/>
              <a:ea typeface="+mn-ea"/>
              <a:cs typeface="Calibri"/>
            </a:rPr>
            <a:t>K</a:t>
          </a:r>
        </a:p>
      </xdr:txBody>
    </xdr:sp>
    <xdr:clientData/>
  </xdr:twoCellAnchor>
  <xdr:twoCellAnchor>
    <xdr:from>
      <xdr:col>14</xdr:col>
      <xdr:colOff>295275</xdr:colOff>
      <xdr:row>26</xdr:row>
      <xdr:rowOff>76200</xdr:rowOff>
    </xdr:from>
    <xdr:to>
      <xdr:col>15</xdr:col>
      <xdr:colOff>438150</xdr:colOff>
      <xdr:row>28</xdr:row>
      <xdr:rowOff>19050</xdr:rowOff>
    </xdr:to>
    <xdr:sp macro="" textlink="Sheet5!N13">
      <xdr:nvSpPr>
        <xdr:cNvPr id="67" name="TextBox 66">
          <a:extLst>
            <a:ext uri="{FF2B5EF4-FFF2-40B4-BE49-F238E27FC236}">
              <a16:creationId xmlns:a16="http://schemas.microsoft.com/office/drawing/2014/main" id="{22F3C85F-08EF-4AF4-B1B5-4915E7898553}"/>
            </a:ext>
          </a:extLst>
        </xdr:cNvPr>
        <xdr:cNvSpPr txBox="1"/>
      </xdr:nvSpPr>
      <xdr:spPr>
        <a:xfrm>
          <a:off x="8829675" y="5029200"/>
          <a:ext cx="75247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CAD7D8-3555-419C-B3D4-2C969BBC40B4}" type="TxLink">
            <a:rPr lang="en-US" sz="1800" b="1" i="0" u="none" strike="noStrike">
              <a:solidFill>
                <a:schemeClr val="accent3">
                  <a:lumMod val="50000"/>
                </a:schemeClr>
              </a:solidFill>
              <a:latin typeface="Calibri"/>
              <a:ea typeface="+mn-ea"/>
              <a:cs typeface="Calibri"/>
            </a:rPr>
            <a:pPr marL="0" indent="0"/>
            <a:t>3</a:t>
          </a:fld>
          <a:endParaRPr lang="en-US" sz="1800" b="1" i="0" u="none" strike="noStrike">
            <a:solidFill>
              <a:schemeClr val="accent3">
                <a:lumMod val="50000"/>
              </a:schemeClr>
            </a:solidFill>
            <a:latin typeface="Calibri"/>
            <a:ea typeface="+mn-ea"/>
            <a:cs typeface="Calibri"/>
          </a:endParaRPr>
        </a:p>
      </xdr:txBody>
    </xdr:sp>
    <xdr:clientData/>
  </xdr:twoCellAnchor>
  <xdr:twoCellAnchor>
    <xdr:from>
      <xdr:col>17</xdr:col>
      <xdr:colOff>0</xdr:colOff>
      <xdr:row>26</xdr:row>
      <xdr:rowOff>57150</xdr:rowOff>
    </xdr:from>
    <xdr:to>
      <xdr:col>18</xdr:col>
      <xdr:colOff>485775</xdr:colOff>
      <xdr:row>28</xdr:row>
      <xdr:rowOff>9525</xdr:rowOff>
    </xdr:to>
    <xdr:sp macro="" textlink="Sheet5!O13">
      <xdr:nvSpPr>
        <xdr:cNvPr id="68" name="TextBox 67">
          <a:extLst>
            <a:ext uri="{FF2B5EF4-FFF2-40B4-BE49-F238E27FC236}">
              <a16:creationId xmlns:a16="http://schemas.microsoft.com/office/drawing/2014/main" id="{9E5AC866-4F1F-44DF-BB96-3A1635213762}"/>
            </a:ext>
          </a:extLst>
        </xdr:cNvPr>
        <xdr:cNvSpPr txBox="1"/>
      </xdr:nvSpPr>
      <xdr:spPr>
        <a:xfrm>
          <a:off x="10363200" y="5010150"/>
          <a:ext cx="109537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C9E6CAF-FADD-4557-A1C7-F7CC23F20497}" type="TxLink">
            <a:rPr lang="en-US" sz="1800" b="1" i="0" u="none" strike="noStrike">
              <a:solidFill>
                <a:schemeClr val="accent3">
                  <a:lumMod val="50000"/>
                </a:schemeClr>
              </a:solidFill>
              <a:latin typeface="Calibri"/>
              <a:ea typeface="+mn-ea"/>
              <a:cs typeface="Calibri"/>
            </a:rPr>
            <a:pPr marL="0" indent="0"/>
            <a:t> 41,640 </a:t>
          </a:fld>
          <a:r>
            <a:rPr lang="en-US" sz="1800" b="1" i="0" u="none" strike="noStrike">
              <a:solidFill>
                <a:schemeClr val="accent3">
                  <a:lumMod val="50000"/>
                </a:schemeClr>
              </a:solidFill>
              <a:latin typeface="Calibri"/>
              <a:ea typeface="+mn-ea"/>
              <a:cs typeface="Calibri"/>
            </a:rPr>
            <a:t>K</a:t>
          </a:r>
        </a:p>
      </xdr:txBody>
    </xdr:sp>
    <xdr:clientData/>
  </xdr:twoCellAnchor>
  <xdr:twoCellAnchor>
    <xdr:from>
      <xdr:col>14</xdr:col>
      <xdr:colOff>276225</xdr:colOff>
      <xdr:row>29</xdr:row>
      <xdr:rowOff>142875</xdr:rowOff>
    </xdr:from>
    <xdr:to>
      <xdr:col>16</xdr:col>
      <xdr:colOff>133350</xdr:colOff>
      <xdr:row>31</xdr:row>
      <xdr:rowOff>76200</xdr:rowOff>
    </xdr:to>
    <xdr:sp macro="" textlink="Sheet5!N14">
      <xdr:nvSpPr>
        <xdr:cNvPr id="69" name="TextBox 68">
          <a:extLst>
            <a:ext uri="{FF2B5EF4-FFF2-40B4-BE49-F238E27FC236}">
              <a16:creationId xmlns:a16="http://schemas.microsoft.com/office/drawing/2014/main" id="{20C3602D-A6A1-4E28-86D8-7DD1ED71C6E0}"/>
            </a:ext>
          </a:extLst>
        </xdr:cNvPr>
        <xdr:cNvSpPr txBox="1"/>
      </xdr:nvSpPr>
      <xdr:spPr>
        <a:xfrm>
          <a:off x="8810625" y="5667375"/>
          <a:ext cx="10763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E289AD-04FC-4B98-B3A0-4CF8578E597E}" type="TxLink">
            <a:rPr lang="en-US" sz="1800" b="1" i="0" u="none" strike="noStrike">
              <a:solidFill>
                <a:schemeClr val="accent3">
                  <a:lumMod val="50000"/>
                </a:schemeClr>
              </a:solidFill>
              <a:latin typeface="Calibri"/>
              <a:ea typeface="+mn-ea"/>
              <a:cs typeface="Calibri"/>
            </a:rPr>
            <a:pPr marL="0" indent="0"/>
            <a:t>2</a:t>
          </a:fld>
          <a:endParaRPr lang="en-US" sz="1800" b="1" i="0" u="none" strike="noStrike">
            <a:solidFill>
              <a:schemeClr val="accent3">
                <a:lumMod val="50000"/>
              </a:schemeClr>
            </a:solidFill>
            <a:latin typeface="Calibri"/>
            <a:ea typeface="+mn-ea"/>
            <a:cs typeface="Calibri"/>
          </a:endParaRPr>
        </a:p>
      </xdr:txBody>
    </xdr:sp>
    <xdr:clientData/>
  </xdr:twoCellAnchor>
  <xdr:twoCellAnchor>
    <xdr:from>
      <xdr:col>17</xdr:col>
      <xdr:colOff>19050</xdr:colOff>
      <xdr:row>29</xdr:row>
      <xdr:rowOff>95250</xdr:rowOff>
    </xdr:from>
    <xdr:to>
      <xdr:col>18</xdr:col>
      <xdr:colOff>514349</xdr:colOff>
      <xdr:row>31</xdr:row>
      <xdr:rowOff>76200</xdr:rowOff>
    </xdr:to>
    <xdr:sp macro="" textlink="Sheet5!O14">
      <xdr:nvSpPr>
        <xdr:cNvPr id="70" name="TextBox 69">
          <a:extLst>
            <a:ext uri="{FF2B5EF4-FFF2-40B4-BE49-F238E27FC236}">
              <a16:creationId xmlns:a16="http://schemas.microsoft.com/office/drawing/2014/main" id="{6F218DE1-EFCA-47E1-9EC9-E8B77C45A5C4}"/>
            </a:ext>
          </a:extLst>
        </xdr:cNvPr>
        <xdr:cNvSpPr txBox="1"/>
      </xdr:nvSpPr>
      <xdr:spPr>
        <a:xfrm>
          <a:off x="10382250" y="5619750"/>
          <a:ext cx="1104899"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62916E0-3378-4AF2-8445-AFFD2C4ADAB5}" type="TxLink">
            <a:rPr lang="en-US" sz="1800" b="1" i="0" u="none" strike="noStrike">
              <a:solidFill>
                <a:schemeClr val="accent3">
                  <a:lumMod val="50000"/>
                </a:schemeClr>
              </a:solidFill>
              <a:latin typeface="Calibri"/>
              <a:ea typeface="+mn-ea"/>
              <a:cs typeface="Calibri"/>
            </a:rPr>
            <a:pPr marL="0" indent="0"/>
            <a:t> 24,288 </a:t>
          </a:fld>
          <a:r>
            <a:rPr lang="en-US" sz="1800" b="1" i="0" u="none" strike="noStrike">
              <a:solidFill>
                <a:schemeClr val="accent3">
                  <a:lumMod val="50000"/>
                </a:schemeClr>
              </a:solidFill>
              <a:latin typeface="Calibri"/>
              <a:ea typeface="+mn-ea"/>
              <a:cs typeface="Calibri"/>
            </a:rPr>
            <a:t>K</a:t>
          </a:r>
        </a:p>
      </xdr:txBody>
    </xdr:sp>
    <xdr:clientData/>
  </xdr:twoCellAnchor>
  <xdr:twoCellAnchor>
    <xdr:from>
      <xdr:col>14</xdr:col>
      <xdr:colOff>304800</xdr:colOff>
      <xdr:row>32</xdr:row>
      <xdr:rowOff>161925</xdr:rowOff>
    </xdr:from>
    <xdr:to>
      <xdr:col>15</xdr:col>
      <xdr:colOff>581025</xdr:colOff>
      <xdr:row>34</xdr:row>
      <xdr:rowOff>95250</xdr:rowOff>
    </xdr:to>
    <xdr:sp macro="" textlink="Sheet5!N15">
      <xdr:nvSpPr>
        <xdr:cNvPr id="71" name="TextBox 70">
          <a:extLst>
            <a:ext uri="{FF2B5EF4-FFF2-40B4-BE49-F238E27FC236}">
              <a16:creationId xmlns:a16="http://schemas.microsoft.com/office/drawing/2014/main" id="{94B48657-0213-4378-8533-63A96B4C1454}"/>
            </a:ext>
          </a:extLst>
        </xdr:cNvPr>
        <xdr:cNvSpPr txBox="1"/>
      </xdr:nvSpPr>
      <xdr:spPr>
        <a:xfrm>
          <a:off x="8839200" y="6257925"/>
          <a:ext cx="8858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B551289-21A5-4843-BA59-45504E3988A7}" type="TxLink">
            <a:rPr lang="en-US" sz="1800" b="1" i="0" u="none" strike="noStrike">
              <a:solidFill>
                <a:schemeClr val="accent3">
                  <a:lumMod val="50000"/>
                </a:schemeClr>
              </a:solidFill>
              <a:latin typeface="Calibri"/>
              <a:ea typeface="+mn-ea"/>
              <a:cs typeface="Calibri"/>
            </a:rPr>
            <a:pPr marL="0" indent="0"/>
            <a:t>1</a:t>
          </a:fld>
          <a:endParaRPr lang="en-US" sz="1800" b="1" i="0" u="none" strike="noStrike">
            <a:solidFill>
              <a:schemeClr val="accent3">
                <a:lumMod val="50000"/>
              </a:schemeClr>
            </a:solidFill>
            <a:latin typeface="Calibri"/>
            <a:ea typeface="+mn-ea"/>
            <a:cs typeface="Calibri"/>
          </a:endParaRPr>
        </a:p>
      </xdr:txBody>
    </xdr:sp>
    <xdr:clientData/>
  </xdr:twoCellAnchor>
  <xdr:twoCellAnchor>
    <xdr:from>
      <xdr:col>17</xdr:col>
      <xdr:colOff>38100</xdr:colOff>
      <xdr:row>33</xdr:row>
      <xdr:rowOff>0</xdr:rowOff>
    </xdr:from>
    <xdr:to>
      <xdr:col>18</xdr:col>
      <xdr:colOff>571500</xdr:colOff>
      <xdr:row>35</xdr:row>
      <xdr:rowOff>0</xdr:rowOff>
    </xdr:to>
    <xdr:sp macro="" textlink="Sheet5!O15">
      <xdr:nvSpPr>
        <xdr:cNvPr id="73" name="TextBox 72">
          <a:extLst>
            <a:ext uri="{FF2B5EF4-FFF2-40B4-BE49-F238E27FC236}">
              <a16:creationId xmlns:a16="http://schemas.microsoft.com/office/drawing/2014/main" id="{9112DE5A-8993-4EB6-B729-E20931B4B6AB}"/>
            </a:ext>
          </a:extLst>
        </xdr:cNvPr>
        <xdr:cNvSpPr txBox="1"/>
      </xdr:nvSpPr>
      <xdr:spPr>
        <a:xfrm>
          <a:off x="10401300" y="6286500"/>
          <a:ext cx="11430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955479F-3281-4EE4-B0D4-F1DFE200DC53}" type="TxLink">
            <a:rPr lang="en-US" sz="1800" b="1" i="0" u="none" strike="noStrike">
              <a:solidFill>
                <a:schemeClr val="accent3">
                  <a:lumMod val="50000"/>
                </a:schemeClr>
              </a:solidFill>
              <a:latin typeface="Calibri"/>
              <a:ea typeface="+mn-ea"/>
              <a:cs typeface="Calibri"/>
            </a:rPr>
            <a:pPr marL="0" indent="0"/>
            <a:t> 12,999 </a:t>
          </a:fld>
          <a:r>
            <a:rPr lang="en-US" sz="1800" b="1" i="0" u="none" strike="noStrike">
              <a:solidFill>
                <a:schemeClr val="accent3">
                  <a:lumMod val="50000"/>
                </a:schemeClr>
              </a:solidFill>
              <a:latin typeface="Calibri"/>
              <a:ea typeface="+mn-ea"/>
              <a:cs typeface="Calibri"/>
            </a:rPr>
            <a:t>K</a:t>
          </a:r>
        </a:p>
      </xdr:txBody>
    </xdr:sp>
    <xdr:clientData/>
  </xdr:twoCellAnchor>
  <xdr:twoCellAnchor>
    <xdr:from>
      <xdr:col>15</xdr:col>
      <xdr:colOff>457200</xdr:colOff>
      <xdr:row>0</xdr:row>
      <xdr:rowOff>104774</xdr:rowOff>
    </xdr:from>
    <xdr:to>
      <xdr:col>18</xdr:col>
      <xdr:colOff>514349</xdr:colOff>
      <xdr:row>4</xdr:row>
      <xdr:rowOff>104775</xdr:rowOff>
    </xdr:to>
    <xdr:sp macro="" textlink="">
      <xdr:nvSpPr>
        <xdr:cNvPr id="74" name="TextBox 73">
          <a:extLst>
            <a:ext uri="{FF2B5EF4-FFF2-40B4-BE49-F238E27FC236}">
              <a16:creationId xmlns:a16="http://schemas.microsoft.com/office/drawing/2014/main" id="{83F3C53C-A3CA-4DFB-81C6-CD494727CB2B}"/>
            </a:ext>
          </a:extLst>
        </xdr:cNvPr>
        <xdr:cNvSpPr txBox="1"/>
      </xdr:nvSpPr>
      <xdr:spPr>
        <a:xfrm>
          <a:off x="9601200" y="104774"/>
          <a:ext cx="1885949" cy="76200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Highest month for revenue</a:t>
          </a:r>
        </a:p>
      </xdr:txBody>
    </xdr:sp>
    <xdr:clientData/>
  </xdr:twoCellAnchor>
  <xdr:twoCellAnchor>
    <xdr:from>
      <xdr:col>16</xdr:col>
      <xdr:colOff>104774</xdr:colOff>
      <xdr:row>4</xdr:row>
      <xdr:rowOff>66675</xdr:rowOff>
    </xdr:from>
    <xdr:to>
      <xdr:col>18</xdr:col>
      <xdr:colOff>323849</xdr:colOff>
      <xdr:row>6</xdr:row>
      <xdr:rowOff>19050</xdr:rowOff>
    </xdr:to>
    <xdr:sp macro="" textlink="">
      <xdr:nvSpPr>
        <xdr:cNvPr id="75" name="TextBox 74">
          <a:extLst>
            <a:ext uri="{FF2B5EF4-FFF2-40B4-BE49-F238E27FC236}">
              <a16:creationId xmlns:a16="http://schemas.microsoft.com/office/drawing/2014/main" id="{580A3FD9-F823-4CE2-A8EF-7897D6E034EE}"/>
            </a:ext>
          </a:extLst>
        </xdr:cNvPr>
        <xdr:cNvSpPr txBox="1"/>
      </xdr:nvSpPr>
      <xdr:spPr>
        <a:xfrm>
          <a:off x="9858374" y="828675"/>
          <a:ext cx="1438275" cy="3333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3">
                  <a:lumMod val="50000"/>
                </a:schemeClr>
              </a:solidFill>
            </a:rPr>
            <a:t>September</a:t>
          </a:r>
        </a:p>
      </xdr:txBody>
    </xdr:sp>
    <xdr:clientData/>
  </xdr:twoCellAnchor>
  <xdr:twoCellAnchor>
    <xdr:from>
      <xdr:col>14</xdr:col>
      <xdr:colOff>485775</xdr:colOff>
      <xdr:row>4</xdr:row>
      <xdr:rowOff>0</xdr:rowOff>
    </xdr:from>
    <xdr:to>
      <xdr:col>16</xdr:col>
      <xdr:colOff>47625</xdr:colOff>
      <xdr:row>6</xdr:row>
      <xdr:rowOff>104775</xdr:rowOff>
    </xdr:to>
    <xdr:sp macro="" textlink="">
      <xdr:nvSpPr>
        <xdr:cNvPr id="76" name="Arrow: Left 75">
          <a:extLst>
            <a:ext uri="{FF2B5EF4-FFF2-40B4-BE49-F238E27FC236}">
              <a16:creationId xmlns:a16="http://schemas.microsoft.com/office/drawing/2014/main" id="{9AB69241-6537-41CA-AC6B-C1AC7EF1BCF0}"/>
            </a:ext>
          </a:extLst>
        </xdr:cNvPr>
        <xdr:cNvSpPr/>
      </xdr:nvSpPr>
      <xdr:spPr>
        <a:xfrm>
          <a:off x="9020175" y="762000"/>
          <a:ext cx="781050" cy="485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114299</xdr:colOff>
      <xdr:row>23</xdr:row>
      <xdr:rowOff>1</xdr:rowOff>
    </xdr:from>
    <xdr:to>
      <xdr:col>8</xdr:col>
      <xdr:colOff>542924</xdr:colOff>
      <xdr:row>39</xdr:row>
      <xdr:rowOff>95251</xdr:rowOff>
    </xdr:to>
    <xdr:sp macro="" textlink="">
      <xdr:nvSpPr>
        <xdr:cNvPr id="77" name="Rectangle: Rounded Corners 76">
          <a:extLst>
            <a:ext uri="{FF2B5EF4-FFF2-40B4-BE49-F238E27FC236}">
              <a16:creationId xmlns:a16="http://schemas.microsoft.com/office/drawing/2014/main" id="{ECF3859D-68AB-4103-8D1F-7572F0D519FA}"/>
            </a:ext>
          </a:extLst>
        </xdr:cNvPr>
        <xdr:cNvSpPr/>
      </xdr:nvSpPr>
      <xdr:spPr>
        <a:xfrm>
          <a:off x="114299" y="4381501"/>
          <a:ext cx="5305425" cy="3143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276225</xdr:colOff>
      <xdr:row>23</xdr:row>
      <xdr:rowOff>152398</xdr:rowOff>
    </xdr:from>
    <xdr:to>
      <xdr:col>8</xdr:col>
      <xdr:colOff>361950</xdr:colOff>
      <xdr:row>38</xdr:row>
      <xdr:rowOff>171449</xdr:rowOff>
    </xdr:to>
    <xdr:graphicFrame macro="">
      <xdr:nvGraphicFramePr>
        <xdr:cNvPr id="78" name="Chart 77">
          <a:extLst>
            <a:ext uri="{FF2B5EF4-FFF2-40B4-BE49-F238E27FC236}">
              <a16:creationId xmlns:a16="http://schemas.microsoft.com/office/drawing/2014/main" id="{8B81381D-7AC7-434B-BEC6-EA7282FA8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323851</xdr:colOff>
      <xdr:row>0</xdr:row>
      <xdr:rowOff>104776</xdr:rowOff>
    </xdr:from>
    <xdr:to>
      <xdr:col>12</xdr:col>
      <xdr:colOff>342901</xdr:colOff>
      <xdr:row>6</xdr:row>
      <xdr:rowOff>28576</xdr:rowOff>
    </xdr:to>
    <mc:AlternateContent xmlns:mc="http://schemas.openxmlformats.org/markup-compatibility/2006">
      <mc:Choice xmlns:a14="http://schemas.microsoft.com/office/drawing/2010/main" Requires="a14">
        <xdr:graphicFrame macro="">
          <xdr:nvGraphicFramePr>
            <xdr:cNvPr id="79" name="ميعاد الطلب 1">
              <a:extLst>
                <a:ext uri="{FF2B5EF4-FFF2-40B4-BE49-F238E27FC236}">
                  <a16:creationId xmlns:a16="http://schemas.microsoft.com/office/drawing/2014/main" id="{FA493467-0BA0-49D0-9DEC-09C2599BFE15}"/>
                </a:ext>
              </a:extLst>
            </xdr:cNvPr>
            <xdr:cNvGraphicFramePr/>
          </xdr:nvGraphicFramePr>
          <xdr:xfrm>
            <a:off x="0" y="0"/>
            <a:ext cx="0" cy="0"/>
          </xdr:xfrm>
          <a:graphic>
            <a:graphicData uri="http://schemas.microsoft.com/office/drawing/2010/slicer">
              <sle:slicer xmlns:sle="http://schemas.microsoft.com/office/drawing/2010/slicer" name="ميعاد الطلب 1"/>
            </a:graphicData>
          </a:graphic>
        </xdr:graphicFrame>
      </mc:Choice>
      <mc:Fallback>
        <xdr:sp macro="" textlink="">
          <xdr:nvSpPr>
            <xdr:cNvPr id="0" name=""/>
            <xdr:cNvSpPr>
              <a:spLocks noTextEdit="1"/>
            </xdr:cNvSpPr>
          </xdr:nvSpPr>
          <xdr:spPr>
            <a:xfrm>
              <a:off x="4591051" y="104776"/>
              <a:ext cx="306705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485775</xdr:colOff>
      <xdr:row>0</xdr:row>
      <xdr:rowOff>28575</xdr:rowOff>
    </xdr:from>
    <xdr:to>
      <xdr:col>4</xdr:col>
      <xdr:colOff>581024</xdr:colOff>
      <xdr:row>9</xdr:row>
      <xdr:rowOff>57150</xdr:rowOff>
    </xdr:to>
    <xdr:sp macro="" textlink="">
      <xdr:nvSpPr>
        <xdr:cNvPr id="8" name="Rectangle: Rounded Corners 7">
          <a:extLst>
            <a:ext uri="{FF2B5EF4-FFF2-40B4-BE49-F238E27FC236}">
              <a16:creationId xmlns:a16="http://schemas.microsoft.com/office/drawing/2014/main" id="{67B444EE-E112-48B2-B9BD-95260327A0F5}"/>
            </a:ext>
          </a:extLst>
        </xdr:cNvPr>
        <xdr:cNvSpPr/>
      </xdr:nvSpPr>
      <xdr:spPr>
        <a:xfrm>
          <a:off x="485775" y="28575"/>
          <a:ext cx="2533649" cy="17430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19051</xdr:colOff>
      <xdr:row>0</xdr:row>
      <xdr:rowOff>85726</xdr:rowOff>
    </xdr:from>
    <xdr:to>
      <xdr:col>4</xdr:col>
      <xdr:colOff>485775</xdr:colOff>
      <xdr:row>5</xdr:row>
      <xdr:rowOff>180975</xdr:rowOff>
    </xdr:to>
    <xdr:sp macro="" textlink="">
      <xdr:nvSpPr>
        <xdr:cNvPr id="9" name="TextBox 8">
          <a:extLst>
            <a:ext uri="{FF2B5EF4-FFF2-40B4-BE49-F238E27FC236}">
              <a16:creationId xmlns:a16="http://schemas.microsoft.com/office/drawing/2014/main" id="{6294954E-2B12-4AE2-8D5B-42D0F864F6D5}"/>
            </a:ext>
          </a:extLst>
        </xdr:cNvPr>
        <xdr:cNvSpPr txBox="1"/>
      </xdr:nvSpPr>
      <xdr:spPr>
        <a:xfrm>
          <a:off x="628651" y="85726"/>
          <a:ext cx="2295524" cy="104774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The most profitable platform</a:t>
          </a:r>
        </a:p>
      </xdr:txBody>
    </xdr:sp>
    <xdr:clientData/>
  </xdr:twoCellAnchor>
  <xdr:twoCellAnchor>
    <xdr:from>
      <xdr:col>1</xdr:col>
      <xdr:colOff>457197</xdr:colOff>
      <xdr:row>3</xdr:row>
      <xdr:rowOff>152399</xdr:rowOff>
    </xdr:from>
    <xdr:to>
      <xdr:col>4</xdr:col>
      <xdr:colOff>200024</xdr:colOff>
      <xdr:row>9</xdr:row>
      <xdr:rowOff>19050</xdr:rowOff>
    </xdr:to>
    <xdr:sp macro="" textlink="">
      <xdr:nvSpPr>
        <xdr:cNvPr id="10" name="TextBox 9">
          <a:extLst>
            <a:ext uri="{FF2B5EF4-FFF2-40B4-BE49-F238E27FC236}">
              <a16:creationId xmlns:a16="http://schemas.microsoft.com/office/drawing/2014/main" id="{2EAFE49B-00E8-43C3-88DD-FF217B7E1AC9}"/>
            </a:ext>
          </a:extLst>
        </xdr:cNvPr>
        <xdr:cNvSpPr txBox="1"/>
      </xdr:nvSpPr>
      <xdr:spPr>
        <a:xfrm>
          <a:off x="1066797" y="723899"/>
          <a:ext cx="1571627" cy="100965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800" b="1">
              <a:solidFill>
                <a:schemeClr val="accent3">
                  <a:lumMod val="50000"/>
                </a:schemeClr>
              </a:solidFill>
            </a:rPr>
            <a:t>هومزمارت</a:t>
          </a:r>
          <a:endParaRPr lang="en-US" sz="1800" b="1">
            <a:solidFill>
              <a:schemeClr val="accent3">
                <a:lumMod val="50000"/>
              </a:schemeClr>
            </a:solidFill>
          </a:endParaRPr>
        </a:p>
        <a:p>
          <a:pPr algn="ctr"/>
          <a:r>
            <a:rPr lang="en-US" sz="1800" b="1">
              <a:solidFill>
                <a:schemeClr val="accent3">
                  <a:lumMod val="50000"/>
                </a:schemeClr>
              </a:solidFill>
            </a:rPr>
            <a:t>=</a:t>
          </a:r>
        </a:p>
        <a:p>
          <a:pPr algn="ctr"/>
          <a:r>
            <a:rPr lang="en-US" sz="1800" b="1">
              <a:solidFill>
                <a:schemeClr val="accent3">
                  <a:lumMod val="50000"/>
                </a:schemeClr>
              </a:solidFill>
            </a:rPr>
            <a:t>868,668</a:t>
          </a:r>
          <a:r>
            <a:rPr lang="en-US" sz="1800" b="1" baseline="0">
              <a:solidFill>
                <a:schemeClr val="accent3">
                  <a:lumMod val="50000"/>
                </a:schemeClr>
              </a:solidFill>
            </a:rPr>
            <a:t> K</a:t>
          </a:r>
          <a:endParaRPr lang="en-US" sz="1800" b="1">
            <a:solidFill>
              <a:schemeClr val="accent3">
                <a:lumMod val="50000"/>
              </a:schemeClr>
            </a:solidFill>
          </a:endParaRPr>
        </a:p>
      </xdr:txBody>
    </xdr:sp>
    <xdr:clientData/>
  </xdr:twoCellAnchor>
  <xdr:twoCellAnchor>
    <xdr:from>
      <xdr:col>14</xdr:col>
      <xdr:colOff>285750</xdr:colOff>
      <xdr:row>0</xdr:row>
      <xdr:rowOff>9525</xdr:rowOff>
    </xdr:from>
    <xdr:to>
      <xdr:col>18</xdr:col>
      <xdr:colOff>380999</xdr:colOff>
      <xdr:row>9</xdr:row>
      <xdr:rowOff>38100</xdr:rowOff>
    </xdr:to>
    <xdr:sp macro="" textlink="">
      <xdr:nvSpPr>
        <xdr:cNvPr id="11" name="Rectangle: Rounded Corners 10">
          <a:extLst>
            <a:ext uri="{FF2B5EF4-FFF2-40B4-BE49-F238E27FC236}">
              <a16:creationId xmlns:a16="http://schemas.microsoft.com/office/drawing/2014/main" id="{E9089AD6-FAA3-4173-A136-7288AA222AC8}"/>
            </a:ext>
          </a:extLst>
        </xdr:cNvPr>
        <xdr:cNvSpPr/>
      </xdr:nvSpPr>
      <xdr:spPr>
        <a:xfrm>
          <a:off x="8820150" y="9525"/>
          <a:ext cx="2533649" cy="1743075"/>
        </a:xfrm>
        <a:prstGeom prst="roundRect">
          <a:avLst/>
        </a:prstGeom>
        <a:solidFill>
          <a:srgbClr val="5B9BD5"/>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chemeClr val="accent3">
                <a:lumMod val="50000"/>
              </a:schemeClr>
            </a:solidFill>
            <a:effectLst/>
            <a:uLnTx/>
            <a:uFillTx/>
            <a:latin typeface="Calibri" panose="020F0502020204030204"/>
            <a:ea typeface="+mn-ea"/>
            <a:cs typeface="+mn-cs"/>
          </a:endParaRPr>
        </a:p>
      </xdr:txBody>
    </xdr:sp>
    <xdr:clientData/>
  </xdr:twoCellAnchor>
  <xdr:twoCellAnchor>
    <xdr:from>
      <xdr:col>14</xdr:col>
      <xdr:colOff>552450</xdr:colOff>
      <xdr:row>0</xdr:row>
      <xdr:rowOff>47625</xdr:rowOff>
    </xdr:from>
    <xdr:to>
      <xdr:col>18</xdr:col>
      <xdr:colOff>161925</xdr:colOff>
      <xdr:row>4</xdr:row>
      <xdr:rowOff>9525</xdr:rowOff>
    </xdr:to>
    <xdr:sp macro="" textlink="">
      <xdr:nvSpPr>
        <xdr:cNvPr id="12" name="TextBox 11">
          <a:extLst>
            <a:ext uri="{FF2B5EF4-FFF2-40B4-BE49-F238E27FC236}">
              <a16:creationId xmlns:a16="http://schemas.microsoft.com/office/drawing/2014/main" id="{8582E9E2-2DB4-42FB-9A24-CA4582CD173A}"/>
            </a:ext>
          </a:extLst>
        </xdr:cNvPr>
        <xdr:cNvSpPr txBox="1"/>
      </xdr:nvSpPr>
      <xdr:spPr>
        <a:xfrm>
          <a:off x="9086850" y="47625"/>
          <a:ext cx="2047875" cy="7239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Lowest profit platform</a:t>
          </a:r>
        </a:p>
      </xdr:txBody>
    </xdr:sp>
    <xdr:clientData/>
  </xdr:twoCellAnchor>
  <xdr:twoCellAnchor>
    <xdr:from>
      <xdr:col>14</xdr:col>
      <xdr:colOff>571500</xdr:colOff>
      <xdr:row>4</xdr:row>
      <xdr:rowOff>9524</xdr:rowOff>
    </xdr:from>
    <xdr:to>
      <xdr:col>18</xdr:col>
      <xdr:colOff>0</xdr:colOff>
      <xdr:row>8</xdr:row>
      <xdr:rowOff>171450</xdr:rowOff>
    </xdr:to>
    <xdr:sp macro="" textlink="">
      <xdr:nvSpPr>
        <xdr:cNvPr id="14" name="TextBox 13">
          <a:extLst>
            <a:ext uri="{FF2B5EF4-FFF2-40B4-BE49-F238E27FC236}">
              <a16:creationId xmlns:a16="http://schemas.microsoft.com/office/drawing/2014/main" id="{12FFF98C-7FAF-40DB-B161-72CEA307E125}"/>
            </a:ext>
          </a:extLst>
        </xdr:cNvPr>
        <xdr:cNvSpPr txBox="1"/>
      </xdr:nvSpPr>
      <xdr:spPr>
        <a:xfrm>
          <a:off x="9105900" y="771524"/>
          <a:ext cx="1866900" cy="92392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800" b="1">
              <a:solidFill>
                <a:schemeClr val="accent3">
                  <a:lumMod val="50000"/>
                </a:schemeClr>
              </a:solidFill>
            </a:rPr>
            <a:t>كيمت</a:t>
          </a:r>
        </a:p>
        <a:p>
          <a:pPr algn="ctr"/>
          <a:r>
            <a:rPr lang="ar-EG" sz="1800" b="1">
              <a:solidFill>
                <a:schemeClr val="accent3">
                  <a:lumMod val="50000"/>
                </a:schemeClr>
              </a:solidFill>
            </a:rPr>
            <a:t>=</a:t>
          </a:r>
        </a:p>
        <a:p>
          <a:pPr algn="ctr"/>
          <a:r>
            <a:rPr lang="ar-EG" sz="1800" b="1">
              <a:solidFill>
                <a:schemeClr val="accent3">
                  <a:lumMod val="50000"/>
                </a:schemeClr>
              </a:solidFill>
            </a:rPr>
            <a:t>7</a:t>
          </a:r>
          <a:r>
            <a:rPr lang="en-US" sz="1800" b="1">
              <a:solidFill>
                <a:schemeClr val="accent3">
                  <a:lumMod val="50000"/>
                </a:schemeClr>
              </a:solidFill>
            </a:rPr>
            <a:t>,396 K</a:t>
          </a:r>
        </a:p>
      </xdr:txBody>
    </xdr:sp>
    <xdr:clientData/>
  </xdr:twoCellAnchor>
  <xdr:twoCellAnchor>
    <xdr:from>
      <xdr:col>0</xdr:col>
      <xdr:colOff>114300</xdr:colOff>
      <xdr:row>10</xdr:row>
      <xdr:rowOff>171450</xdr:rowOff>
    </xdr:from>
    <xdr:to>
      <xdr:col>9</xdr:col>
      <xdr:colOff>114300</xdr:colOff>
      <xdr:row>24</xdr:row>
      <xdr:rowOff>95249</xdr:rowOff>
    </xdr:to>
    <xdr:sp macro="" textlink="">
      <xdr:nvSpPr>
        <xdr:cNvPr id="15" name="Rectangle: Rounded Corners 14">
          <a:extLst>
            <a:ext uri="{FF2B5EF4-FFF2-40B4-BE49-F238E27FC236}">
              <a16:creationId xmlns:a16="http://schemas.microsoft.com/office/drawing/2014/main" id="{9DD5C911-6C79-4916-9404-FACA2A420E8B}"/>
            </a:ext>
          </a:extLst>
        </xdr:cNvPr>
        <xdr:cNvSpPr/>
      </xdr:nvSpPr>
      <xdr:spPr>
        <a:xfrm>
          <a:off x="114300" y="2076450"/>
          <a:ext cx="5486400" cy="259079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11</xdr:row>
      <xdr:rowOff>123825</xdr:rowOff>
    </xdr:from>
    <xdr:to>
      <xdr:col>8</xdr:col>
      <xdr:colOff>476250</xdr:colOff>
      <xdr:row>23</xdr:row>
      <xdr:rowOff>185737</xdr:rowOff>
    </xdr:to>
    <xdr:graphicFrame macro="">
      <xdr:nvGraphicFramePr>
        <xdr:cNvPr id="16" name="Chart 15">
          <a:extLst>
            <a:ext uri="{FF2B5EF4-FFF2-40B4-BE49-F238E27FC236}">
              <a16:creationId xmlns:a16="http://schemas.microsoft.com/office/drawing/2014/main" id="{88B7CC63-928A-43B2-AD10-C6353AAFB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495300</xdr:colOff>
      <xdr:row>0</xdr:row>
      <xdr:rowOff>180975</xdr:rowOff>
    </xdr:from>
    <xdr:to>
      <xdr:col>12</xdr:col>
      <xdr:colOff>419100</xdr:colOff>
      <xdr:row>4</xdr:row>
      <xdr:rowOff>47625</xdr:rowOff>
    </xdr:to>
    <mc:AlternateContent xmlns:mc="http://schemas.openxmlformats.org/markup-compatibility/2006">
      <mc:Choice xmlns:a14="http://schemas.microsoft.com/office/drawing/2010/main" Requires="a14">
        <xdr:graphicFrame macro="">
          <xdr:nvGraphicFramePr>
            <xdr:cNvPr id="18" name="الحالة 1">
              <a:extLst>
                <a:ext uri="{FF2B5EF4-FFF2-40B4-BE49-F238E27FC236}">
                  <a16:creationId xmlns:a16="http://schemas.microsoft.com/office/drawing/2014/main" id="{5FA54AC1-6330-4D31-9D46-CE9830C3C6C4}"/>
                </a:ext>
              </a:extLst>
            </xdr:cNvPr>
            <xdr:cNvGraphicFramePr/>
          </xdr:nvGraphicFramePr>
          <xdr:xfrm>
            <a:off x="0" y="0"/>
            <a:ext cx="0" cy="0"/>
          </xdr:xfrm>
          <a:graphic>
            <a:graphicData uri="http://schemas.microsoft.com/office/drawing/2010/slicer">
              <sle:slicer xmlns:sle="http://schemas.microsoft.com/office/drawing/2010/slicer" name="الحالة 1"/>
            </a:graphicData>
          </a:graphic>
        </xdr:graphicFrame>
      </mc:Choice>
      <mc:Fallback>
        <xdr:sp macro="" textlink="">
          <xdr:nvSpPr>
            <xdr:cNvPr id="0" name=""/>
            <xdr:cNvSpPr>
              <a:spLocks noTextEdit="1"/>
            </xdr:cNvSpPr>
          </xdr:nvSpPr>
          <xdr:spPr>
            <a:xfrm>
              <a:off x="4152900" y="180975"/>
              <a:ext cx="3581400"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542925</xdr:colOff>
      <xdr:row>12</xdr:row>
      <xdr:rowOff>57150</xdr:rowOff>
    </xdr:from>
    <xdr:to>
      <xdr:col>18</xdr:col>
      <xdr:colOff>323850</xdr:colOff>
      <xdr:row>26</xdr:row>
      <xdr:rowOff>47625</xdr:rowOff>
    </xdr:to>
    <xdr:sp macro="" textlink="">
      <xdr:nvSpPr>
        <xdr:cNvPr id="19" name="Rectangle: Rounded Corners 18">
          <a:extLst>
            <a:ext uri="{FF2B5EF4-FFF2-40B4-BE49-F238E27FC236}">
              <a16:creationId xmlns:a16="http://schemas.microsoft.com/office/drawing/2014/main" id="{A6827C1A-C86A-4B57-AAF0-05AFA4F4E331}"/>
            </a:ext>
          </a:extLst>
        </xdr:cNvPr>
        <xdr:cNvSpPr/>
      </xdr:nvSpPr>
      <xdr:spPr>
        <a:xfrm>
          <a:off x="7858125" y="2343150"/>
          <a:ext cx="3438525" cy="2657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142875</xdr:colOff>
      <xdr:row>12</xdr:row>
      <xdr:rowOff>104775</xdr:rowOff>
    </xdr:from>
    <xdr:to>
      <xdr:col>18</xdr:col>
      <xdr:colOff>104775</xdr:colOff>
      <xdr:row>25</xdr:row>
      <xdr:rowOff>71437</xdr:rowOff>
    </xdr:to>
    <xdr:graphicFrame macro="">
      <xdr:nvGraphicFramePr>
        <xdr:cNvPr id="20" name="Chart 19">
          <a:extLst>
            <a:ext uri="{FF2B5EF4-FFF2-40B4-BE49-F238E27FC236}">
              <a16:creationId xmlns:a16="http://schemas.microsoft.com/office/drawing/2014/main" id="{0C5A4F77-ED35-4E88-AAC4-3AA676FBD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allah" refreshedDate="45991.920719907408" createdVersion="7" refreshedVersion="7" minRefreshableVersion="3" recordCount="126" xr:uid="{FE7039E0-221A-4A74-8394-8B107F4234EB}">
  <cacheSource type="worksheet">
    <worksheetSource name="Table1"/>
  </cacheSource>
  <cacheFields count="24">
    <cacheField name="أسم العميل" numFmtId="0">
      <sharedItems/>
    </cacheField>
    <cacheField name="نوع العميل " numFmtId="0">
      <sharedItems count="2">
        <s v="افراد"/>
        <s v="شركة"/>
      </sharedItems>
    </cacheField>
    <cacheField name="نوع الافراد" numFmtId="0">
      <sharedItems count="3">
        <s v="ذكر"/>
        <s v="أنثى"/>
        <s v="شركة"/>
      </sharedItems>
    </cacheField>
    <cacheField name="المحافظة" numFmtId="0">
      <sharedItems containsBlank="1" count="10">
        <s v="الجيزة"/>
        <s v="الإسكندرية"/>
        <s v="مطروح"/>
        <s v="البحر الأحمر"/>
        <m/>
        <s v="القاهرة"/>
        <s v="غير معروف"/>
        <s v="القليوبية"/>
        <s v="السويس"/>
        <s v="أسيوط"/>
      </sharedItems>
    </cacheField>
    <cacheField name="العنوان" numFmtId="0">
      <sharedItems containsBlank="1"/>
    </cacheField>
    <cacheField name="منصة البيع " numFmtId="0">
      <sharedItems count="11">
        <s v="هومزمارت"/>
        <s v="شيك هومز"/>
        <s v="فيس بوك"/>
        <s v="تاكى"/>
        <s v="اوسكار ريتن "/>
        <s v="السويس"/>
        <s v="منزلى"/>
        <s v="كيمت "/>
        <s v="تاكى " u="1"/>
        <s v="منزلى " u="1"/>
        <s v="شيك هومز " u="1"/>
      </sharedItems>
    </cacheField>
    <cacheField name="الصنف" numFmtId="0">
      <sharedItems count="11">
        <s v="سرير"/>
        <s v="ترابيزه"/>
        <s v="ركنه"/>
        <s v="كنبة"/>
        <s v="فوتيه"/>
        <s v="غير معروف"/>
        <s v="شيزلونج"/>
        <s v="كنبه" u="1"/>
        <s v="كنبة " u="1"/>
        <s v="تربيزه" u="1"/>
        <s v="سرير " u="1"/>
      </sharedItems>
    </cacheField>
    <cacheField name=" نوع الصنف" numFmtId="0">
      <sharedItems containsBlank="1"/>
    </cacheField>
    <cacheField name="الاسم" numFmtId="0">
      <sharedItems containsBlank="1"/>
    </cacheField>
    <cacheField name="المقاس" numFmtId="0">
      <sharedItems containsBlank="1" containsMixedTypes="1" containsNumber="1" containsInteger="1" minValue="80" maxValue="160"/>
    </cacheField>
    <cacheField name="اللون الصنف" numFmtId="0">
      <sharedItems containsBlank="1"/>
    </cacheField>
    <cacheField name="المنتج" numFmtId="0">
      <sharedItems containsBlank="1"/>
    </cacheField>
    <cacheField name="سعر البيع " numFmtId="0">
      <sharedItems containsString="0" containsBlank="1" containsNumber="1" minValue="4020" maxValue="22000" count="78">
        <n v="10160"/>
        <n v="11455"/>
        <n v="8642"/>
        <n v="12833"/>
        <n v="14550"/>
        <n v="12000"/>
        <n v="7228"/>
        <n v="22000"/>
        <n v="16000"/>
        <n v="6000"/>
        <n v="10499"/>
        <n v="7295"/>
        <n v="7849"/>
        <n v="6180"/>
        <n v="11199"/>
        <n v="7987"/>
        <n v="9300"/>
        <n v="8849"/>
        <n v="10987"/>
        <n v="9208"/>
        <n v="4020"/>
        <n v="9399"/>
        <n v="8349"/>
        <n v="9450"/>
        <n v="7460"/>
        <n v="9528"/>
        <n v="12999"/>
        <n v="5999"/>
        <n v="11949"/>
        <n v="16599"/>
        <n v="10999"/>
        <n v="13099"/>
        <n v="13849"/>
        <n v="21999"/>
        <n v="17249"/>
        <n v="11817"/>
        <n v="17886"/>
        <n v="10319"/>
        <n v="12399"/>
        <n v="5074"/>
        <n v="6250"/>
        <n v="8943"/>
        <n v="14950"/>
        <n v="7433"/>
        <n v="8544.9054400000005"/>
        <n v="4600"/>
        <n v="10000"/>
        <m/>
        <n v="8899"/>
        <n v="12899"/>
        <n v="5135"/>
        <n v="12777.5"/>
        <n v="8544.91"/>
        <n v="15516"/>
        <n v="10045"/>
        <n v="11649"/>
        <n v="4800"/>
        <n v="5000"/>
        <n v="12099"/>
        <n v="15872"/>
        <n v="4520"/>
        <n v="5766"/>
        <n v="11395"/>
        <n v="12919"/>
        <n v="6376"/>
        <n v="5294"/>
        <n v="7396"/>
        <n v="13439"/>
        <n v="5100"/>
        <n v="5700"/>
        <n v="10885"/>
        <n v="8449"/>
        <n v="10249"/>
        <n v="14905"/>
        <n v="9029"/>
        <n v="5217"/>
        <n v="10445"/>
        <n v="8700"/>
      </sharedItems>
    </cacheField>
    <cacheField name="طريقة الدفع2" numFmtId="0">
      <sharedItems count="4">
        <s v="مسبق الدفع"/>
        <s v="كاش"/>
        <s v="حساب شركه"/>
        <s v="غير معروف"/>
      </sharedItems>
    </cacheField>
    <cacheField name="طريقه الدفع " numFmtId="0">
      <sharedItems containsBlank="1" containsMixedTypes="1" containsNumber="1" minValue="1278.53" maxValue="22000"/>
    </cacheField>
    <cacheField name="كفاءة التسليم" numFmtId="0">
      <sharedItems containsMixedTypes="1" containsNumber="1" containsInteger="1" minValue="0" maxValue="0" count="3">
        <n v="0"/>
        <s v="قبل الموعد"/>
        <s v="تأخير"/>
      </sharedItems>
    </cacheField>
    <cacheField name="مدة التسليم (الفعلية)" numFmtId="0">
      <sharedItems containsSemiMixedTypes="0" containsString="0" containsNumber="1" containsInteger="1" minValue="0" maxValue="59" count="37">
        <n v="14"/>
        <n v="0"/>
        <n v="2"/>
        <n v="22"/>
        <n v="16"/>
        <n v="29"/>
        <n v="23"/>
        <n v="7"/>
        <n v="21"/>
        <n v="12"/>
        <n v="15"/>
        <n v="13"/>
        <n v="20"/>
        <n v="10"/>
        <n v="17"/>
        <n v="18"/>
        <n v="33"/>
        <n v="37"/>
        <n v="32"/>
        <n v="46"/>
        <n v="31"/>
        <n v="35"/>
        <n v="25"/>
        <n v="34"/>
        <n v="59"/>
        <n v="24"/>
        <n v="8"/>
        <n v="5"/>
        <n v="47"/>
        <n v="27"/>
        <n v="28"/>
        <n v="6"/>
        <n v="11"/>
        <n v="9"/>
        <n v="1"/>
        <n v="26"/>
        <n v="3"/>
      </sharedItems>
    </cacheField>
    <cacheField name="مدة التسليم (المفترضة)" numFmtId="1">
      <sharedItems containsSemiMixedTypes="0" containsString="0" containsNumber="1" containsInteger="1" minValue="0" maxValue="67" count="27">
        <n v="0"/>
        <n v="13"/>
        <n v="15"/>
        <n v="20"/>
        <n v="3"/>
        <n v="9"/>
        <n v="21"/>
        <n v="12"/>
        <n v="14"/>
        <n v="10"/>
        <n v="11"/>
        <n v="43"/>
        <n v="8"/>
        <n v="18"/>
        <n v="17"/>
        <n v="32"/>
        <n v="45"/>
        <n v="67"/>
        <n v="66"/>
        <n v="44"/>
        <n v="22"/>
        <n v="65"/>
        <n v="64"/>
        <n v="28"/>
        <n v="24"/>
        <n v="25"/>
        <n v="16"/>
      </sharedItems>
    </cacheField>
    <cacheField name="ميعاد الطلب" numFmtId="14">
      <sharedItems containsNonDate="0" containsDate="1" containsString="0" containsBlank="1" minDate="2024-07-27T00:00:00" maxDate="2024-12-15T00:00:00" count="56">
        <d v="2024-07-27T00:00:00"/>
        <d v="2024-07-28T00:00:00"/>
        <d v="2024-08-25T00:00:00"/>
        <d v="2024-08-16T00:00:00"/>
        <d v="2024-08-14T00:00:00"/>
        <d v="2024-08-17T00:00:00"/>
        <d v="2024-08-19T00:00:00"/>
        <m/>
        <d v="2024-09-01T00:00:00"/>
        <d v="2024-09-05T00:00:00"/>
        <d v="2024-09-04T00:00:00"/>
        <d v="2024-09-03T00:00:00"/>
        <d v="2024-09-06T00:00:00"/>
        <d v="2024-09-09T00:00:00"/>
        <d v="2024-09-12T00:00:00"/>
        <d v="2024-09-14T00:00:00"/>
        <d v="2024-09-13T00:00:00"/>
        <d v="2024-09-15T00:00:00"/>
        <d v="2024-09-16T00:00:00"/>
        <d v="2024-09-21T00:00:00"/>
        <d v="2024-09-23T00:00:00"/>
        <d v="2024-09-26T00:00:00"/>
        <d v="2024-09-29T00:00:00"/>
        <d v="2024-10-01T00:00:00"/>
        <d v="2024-10-03T00:00:00"/>
        <d v="2024-10-08T00:00:00"/>
        <d v="2024-10-07T00:00:00"/>
        <d v="2024-10-10T00:00:00"/>
        <d v="2024-10-13T00:00:00"/>
        <d v="2024-10-16T00:00:00"/>
        <d v="2024-10-17T00:00:00"/>
        <d v="2024-10-20T00:00:00"/>
        <d v="2024-10-22T00:00:00"/>
        <d v="2024-10-21T00:00:00"/>
        <d v="2024-10-24T00:00:00"/>
        <d v="2024-10-26T00:00:00"/>
        <d v="2024-10-28T00:00:00"/>
        <d v="2024-11-11T00:00:00"/>
        <d v="2024-11-08T00:00:00"/>
        <d v="2024-11-10T00:00:00"/>
        <d v="2024-11-12T00:00:00"/>
        <d v="2024-11-14T00:00:00"/>
        <d v="2024-11-17T00:00:00"/>
        <d v="2024-11-20T00:00:00"/>
        <d v="2024-11-22T00:00:00"/>
        <d v="2024-11-24T00:00:00"/>
        <d v="2024-11-19T00:00:00"/>
        <d v="2024-11-27T00:00:00"/>
        <d v="2024-11-29T00:00:00"/>
        <d v="2024-11-30T00:00:00"/>
        <d v="2024-12-02T00:00:00"/>
        <d v="2024-12-01T00:00:00"/>
        <d v="2024-12-04T00:00:00"/>
        <d v="2024-12-09T00:00:00"/>
        <d v="2024-12-12T00:00:00"/>
        <d v="2024-12-14T00:00:00"/>
      </sharedItems>
      <fieldGroup par="23" base="18">
        <rangePr groupBy="days" startDate="2024-07-27T00:00:00" endDate="2024-12-15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5/2024"/>
        </groupItems>
      </fieldGroup>
    </cacheField>
    <cacheField name="ميعاد التسليم" numFmtId="14">
      <sharedItems containsNonDate="0" containsDate="1" containsString="0" containsBlank="1" minDate="2024-08-20T00:00:00" maxDate="2025-01-06T00:00:00" count="57">
        <m/>
        <d v="2024-09-07T00:00:00"/>
        <d v="2024-08-31T00:00:00"/>
        <d v="2024-09-03T00:00:00"/>
        <d v="2024-08-20T00:00:00"/>
        <d v="2024-09-01T00:00:00"/>
        <d v="2024-09-15T00:00:00"/>
        <d v="2024-09-16T00:00:00"/>
        <d v="2024-09-14T00:00:00"/>
        <d v="2024-09-18T00:00:00"/>
        <d v="2024-10-16T00:00:00"/>
        <d v="2024-09-17T00:00:00"/>
        <d v="2024-09-19T00:00:00"/>
        <d v="2024-09-21T00:00:00"/>
        <d v="2024-09-22T00:00:00"/>
        <d v="2024-09-24T00:00:00"/>
        <d v="2024-09-26T00:00:00"/>
        <d v="2024-09-27T00:00:00"/>
        <d v="2024-09-29T00:00:00"/>
        <d v="2024-09-30T00:00:00"/>
        <d v="2024-10-29T00:00:00"/>
        <d v="2024-11-20T00:00:00"/>
        <d v="2024-10-30T00:00:00"/>
        <d v="2024-10-05T00:00:00"/>
        <d v="2024-10-08T00:00:00"/>
        <d v="2024-11-10T00:00:00"/>
        <d v="2024-10-14T00:00:00"/>
        <d v="2024-10-20T00:00:00"/>
        <d v="2024-10-12T00:00:00"/>
        <d v="2024-10-09T00:00:00"/>
        <d v="2024-11-17T00:00:00"/>
        <d v="2024-10-31T00:00:00"/>
        <d v="2024-12-17T00:00:00"/>
        <d v="2024-12-19T00:00:00"/>
        <d v="2024-12-22T00:00:00"/>
        <d v="2024-11-12T00:00:00"/>
        <d v="2024-11-14T00:00:00"/>
        <d v="2024-11-16T00:00:00"/>
        <d v="2024-11-11T00:00:00"/>
        <d v="2024-11-26T00:00:00"/>
        <d v="2024-12-03T00:00:00"/>
        <d v="2024-11-22T00:00:00"/>
        <d v="2024-11-24T00:00:00"/>
        <d v="2024-11-30T00:00:00"/>
        <d v="2024-11-27T00:00:00"/>
        <d v="2024-11-28T00:00:00"/>
        <d v="2024-12-05T00:00:00"/>
        <d v="2024-12-08T00:00:00"/>
        <d v="2024-12-02T00:00:00"/>
        <d v="2024-12-10T00:00:00"/>
        <d v="2024-12-15T00:00:00"/>
        <d v="2024-12-12T00:00:00"/>
        <d v="2024-12-14T00:00:00"/>
        <d v="2024-12-31T00:00:00"/>
        <d v="2024-12-24T00:00:00"/>
        <d v="2024-12-28T00:00:00"/>
        <d v="2025-01-05T00:00:00"/>
      </sharedItems>
    </cacheField>
    <cacheField name="تاريخ التسليم" numFmtId="14">
      <sharedItems containsNonDate="0" containsDate="1" containsString="0" containsBlank="1" minDate="2024-08-10T00:00:00" maxDate="2024-12-30T00:00:00" count="44">
        <d v="2024-08-10T00:00:00"/>
        <d v="2024-08-11T00:00:00"/>
        <m/>
        <d v="2024-08-27T00:00:00"/>
        <d v="2024-09-05T00:00:00"/>
        <d v="2024-08-19T00:00:00"/>
        <d v="2024-09-10T00:00:00"/>
        <d v="2024-09-17T00:00:00"/>
        <d v="2024-09-08T00:00:00"/>
        <d v="2024-09-25T00:00:00"/>
        <d v="2024-09-15T00:00:00"/>
        <d v="2024-09-21T00:00:00"/>
        <d v="2024-09-22T00:00:00"/>
        <d v="2024-09-24T00:00:00"/>
        <d v="2024-09-30T00:00:00"/>
        <d v="2024-10-03T00:00:00"/>
        <d v="2024-10-02T00:00:00"/>
        <d v="2024-10-16T00:00:00"/>
        <d v="2024-10-20T00:00:00"/>
        <d v="2024-10-15T00:00:00"/>
        <d v="2024-10-04T00:00:00"/>
        <d v="2024-10-21T00:00:00"/>
        <d v="2024-10-30T00:00:00"/>
        <d v="2024-10-19T00:00:00"/>
        <d v="2024-10-13T00:00:00"/>
        <d v="2024-10-17T00:00:00"/>
        <d v="2024-10-01T00:00:00"/>
        <d v="2024-10-09T00:00:00"/>
        <d v="2024-11-14T00:00:00"/>
        <d v="2024-10-12T00:00:00"/>
        <d v="2024-10-10T00:00:00"/>
        <d v="2024-11-02T00:00:00"/>
        <d v="2024-12-03T00:00:00"/>
        <d v="2024-11-18T00:00:00"/>
        <d v="2024-11-21T00:00:00"/>
        <d v="2024-11-27T00:00:00"/>
        <d v="2024-11-25T00:00:00"/>
        <d v="2024-11-26T00:00:00"/>
        <d v="2024-12-10T00:00:00"/>
        <d v="2024-11-20T00:00:00"/>
        <d v="2024-12-23T00:00:00"/>
        <d v="2024-12-19T00:00:00"/>
        <d v="2024-12-12T00:00:00"/>
        <d v="2024-12-29T00:00:00"/>
      </sharedItems>
    </cacheField>
    <cacheField name="المسئول عن التسليم" numFmtId="0">
      <sharedItems count="6">
        <s v="تم التسليم عن طريق شركه شحن "/>
        <s v="فشل التسليم "/>
        <s v="غير موجود"/>
        <s v="تم التسليم محمود على "/>
        <s v="تم التسليم بمعرفه الحج سيد "/>
        <s v="العميل رفض الاستلام"/>
      </sharedItems>
    </cacheField>
    <cacheField name="الحالة" numFmtId="0">
      <sharedItems count="5">
        <s v="تم التسليم"/>
        <s v="فشل التسليم"/>
        <s v="لغي"/>
        <s v="مرتجع"/>
        <s v="لغى" u="1"/>
      </sharedItems>
    </cacheField>
    <cacheField name="Months" numFmtId="0" databaseField="0">
      <fieldGroup base="18">
        <rangePr groupBy="months" startDate="2024-07-27T00:00:00" endDate="2024-12-15T00:00:00"/>
        <groupItems count="14">
          <s v="&lt;7/27/2024"/>
          <s v="Jan"/>
          <s v="Feb"/>
          <s v="Mar"/>
          <s v="Apr"/>
          <s v="May"/>
          <s v="Jun"/>
          <s v="Jul"/>
          <s v="Aug"/>
          <s v="Sep"/>
          <s v="Oct"/>
          <s v="Nov"/>
          <s v="Dec"/>
          <s v="&gt;12/15/2024"/>
        </groupItems>
      </fieldGroup>
    </cacheField>
  </cacheFields>
  <extLst>
    <ext xmlns:x14="http://schemas.microsoft.com/office/spreadsheetml/2009/9/main" uri="{725AE2AE-9491-48be-B2B4-4EB974FC3084}">
      <x14:pivotCacheDefinition pivotCacheId="700056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خالد عبد القوى "/>
    <x v="0"/>
    <x v="0"/>
    <x v="0"/>
    <s v="العجوزه - الجيزه"/>
    <x v="0"/>
    <x v="0"/>
    <s v="منطبق"/>
    <m/>
    <s v="غير متوفر"/>
    <s v="أبيض"/>
    <s v="سرير منطبق الحديد ابيض والقماش ابيض "/>
    <x v="0"/>
    <x v="0"/>
    <s v="مسبق الدفع"/>
    <x v="0"/>
    <x v="0"/>
    <x v="0"/>
    <x v="0"/>
    <x v="0"/>
    <x v="0"/>
    <x v="0"/>
    <x v="0"/>
  </r>
  <r>
    <s v="محمود"/>
    <x v="0"/>
    <x v="0"/>
    <x v="1"/>
    <s v="سموحه - اسكندريه"/>
    <x v="0"/>
    <x v="0"/>
    <s v="منطبق"/>
    <m/>
    <s v="غير متوفر"/>
    <s v="أسود"/>
    <s v="سرير منطبق اسود والقماش اسود "/>
    <x v="0"/>
    <x v="1"/>
    <n v="9749"/>
    <x v="0"/>
    <x v="0"/>
    <x v="0"/>
    <x v="1"/>
    <x v="0"/>
    <x v="1"/>
    <x v="0"/>
    <x v="0"/>
  </r>
  <r>
    <s v="سعيد"/>
    <x v="0"/>
    <x v="0"/>
    <x v="2"/>
    <s v="سيدى عبد الرحمن - الساحل الشمالى "/>
    <x v="0"/>
    <x v="0"/>
    <s v="دورين"/>
    <s v="كيفنج"/>
    <n v="90"/>
    <s v="أزرق"/>
    <s v="سرير كيفينج مقاس 90 لون ازرق "/>
    <x v="1"/>
    <x v="1"/>
    <n v="10067.68"/>
    <x v="0"/>
    <x v="1"/>
    <x v="0"/>
    <x v="0"/>
    <x v="0"/>
    <x v="2"/>
    <x v="1"/>
    <x v="1"/>
  </r>
  <r>
    <s v="ساندرا"/>
    <x v="0"/>
    <x v="1"/>
    <x v="3"/>
    <s v="الغردقه "/>
    <x v="0"/>
    <x v="1"/>
    <m/>
    <m/>
    <s v="غير متوفر"/>
    <s v="غير محدد"/>
    <s v="ترابيزه قهوه متحركه "/>
    <x v="2"/>
    <x v="0"/>
    <s v="مسبق الدفع"/>
    <x v="1"/>
    <x v="2"/>
    <x v="1"/>
    <x v="2"/>
    <x v="1"/>
    <x v="3"/>
    <x v="0"/>
    <x v="0"/>
  </r>
  <r>
    <s v="زينا "/>
    <x v="0"/>
    <x v="1"/>
    <x v="2"/>
    <s v="سيدى عبد الرحمن - الساحل الشمالى "/>
    <x v="0"/>
    <x v="0"/>
    <s v="دورين"/>
    <s v="نوفال"/>
    <s v="غير متوفر"/>
    <s v="رمادي"/>
    <s v="سرير نوفال متر رمادى "/>
    <x v="3"/>
    <x v="1"/>
    <n v="12974.22"/>
    <x v="0"/>
    <x v="1"/>
    <x v="2"/>
    <x v="3"/>
    <x v="2"/>
    <x v="2"/>
    <x v="1"/>
    <x v="1"/>
  </r>
  <r>
    <s v="شيك هومز "/>
    <x v="1"/>
    <x v="2"/>
    <x v="4"/>
    <m/>
    <x v="1"/>
    <x v="0"/>
    <s v="4*1"/>
    <m/>
    <s v="غير متوفر"/>
    <s v="رمادي"/>
    <s v="كنبه سرير رمادى "/>
    <x v="4"/>
    <x v="0"/>
    <s v="مسبق الدفع"/>
    <x v="2"/>
    <x v="3"/>
    <x v="3"/>
    <x v="4"/>
    <x v="3"/>
    <x v="4"/>
    <x v="0"/>
    <x v="0"/>
  </r>
  <r>
    <s v="احمد "/>
    <x v="0"/>
    <x v="0"/>
    <x v="5"/>
    <s v="التجمع الخامس"/>
    <x v="2"/>
    <x v="0"/>
    <s v="4*1"/>
    <m/>
    <s v="غير متوفر"/>
    <s v="رمادي"/>
    <s v="كنبه سرير رمادى "/>
    <x v="5"/>
    <x v="1"/>
    <n v="12000"/>
    <x v="1"/>
    <x v="2"/>
    <x v="4"/>
    <x v="5"/>
    <x v="4"/>
    <x v="5"/>
    <x v="0"/>
    <x v="0"/>
  </r>
  <r>
    <s v="yilmaz"/>
    <x v="0"/>
    <x v="0"/>
    <x v="0"/>
    <s v="٦ اكتوبر الجيزه "/>
    <x v="0"/>
    <x v="0"/>
    <s v="فردى"/>
    <m/>
    <s v="غير متوفر"/>
    <s v="أبيض"/>
    <s v="سرير فردى ابيض "/>
    <x v="6"/>
    <x v="0"/>
    <s v="مسبق الدفع"/>
    <x v="2"/>
    <x v="4"/>
    <x v="5"/>
    <x v="2"/>
    <x v="3"/>
    <x v="6"/>
    <x v="0"/>
    <x v="0"/>
  </r>
  <r>
    <s v="تاكى "/>
    <x v="1"/>
    <x v="2"/>
    <x v="5"/>
    <s v="العباسيه"/>
    <x v="3"/>
    <x v="2"/>
    <s v="ركنة بسرير"/>
    <m/>
    <s v="غير متوفر"/>
    <s v="غير محدد"/>
    <s v="ركنه "/>
    <x v="7"/>
    <x v="1"/>
    <n v="22000"/>
    <x v="2"/>
    <x v="5"/>
    <x v="1"/>
    <x v="6"/>
    <x v="5"/>
    <x v="7"/>
    <x v="2"/>
    <x v="0"/>
  </r>
  <r>
    <s v="تاكى "/>
    <x v="1"/>
    <x v="2"/>
    <x v="5"/>
    <s v="العباسيه"/>
    <x v="3"/>
    <x v="3"/>
    <s v="سحارة"/>
    <m/>
    <s v="غير متوفر"/>
    <s v="غير محدد"/>
    <s v="٢ كنبه سحاره بمخدع"/>
    <x v="8"/>
    <x v="1"/>
    <n v="16000"/>
    <x v="0"/>
    <x v="1"/>
    <x v="0"/>
    <x v="7"/>
    <x v="0"/>
    <x v="2"/>
    <x v="2"/>
    <x v="2"/>
  </r>
  <r>
    <s v="تاكى "/>
    <x v="1"/>
    <x v="2"/>
    <x v="5"/>
    <s v="العباسيه "/>
    <x v="3"/>
    <x v="3"/>
    <s v="سحارة"/>
    <m/>
    <s v="غير متوفر"/>
    <s v="غير محدد"/>
    <s v="٢ كنبه سحاره بدون مخدع "/>
    <x v="9"/>
    <x v="1"/>
    <n v="12000"/>
    <x v="2"/>
    <x v="6"/>
    <x v="6"/>
    <x v="2"/>
    <x v="6"/>
    <x v="7"/>
    <x v="3"/>
    <x v="0"/>
  </r>
  <r>
    <s v="تاكى "/>
    <x v="1"/>
    <x v="2"/>
    <x v="5"/>
    <s v="العباسيه "/>
    <x v="3"/>
    <x v="3"/>
    <s v="سحارة"/>
    <m/>
    <s v="غير متوفر"/>
    <s v="غير محدد"/>
    <s v="٢ كنبه سحاره بدون مخدع "/>
    <x v="9"/>
    <x v="1"/>
    <n v="12000"/>
    <x v="2"/>
    <x v="6"/>
    <x v="6"/>
    <x v="2"/>
    <x v="6"/>
    <x v="7"/>
    <x v="3"/>
    <x v="0"/>
  </r>
  <r>
    <s v="على رشوان "/>
    <x v="0"/>
    <x v="0"/>
    <x v="6"/>
    <s v="مصر الجديده"/>
    <x v="0"/>
    <x v="0"/>
    <s v="دورين"/>
    <s v="نوفال"/>
    <n v="80"/>
    <s v="أبيض"/>
    <s v="سرير نوفال ابيض مقاس ٨٠"/>
    <x v="10"/>
    <x v="1"/>
    <n v="8924"/>
    <x v="1"/>
    <x v="7"/>
    <x v="2"/>
    <x v="8"/>
    <x v="7"/>
    <x v="8"/>
    <x v="0"/>
    <x v="0"/>
  </r>
  <r>
    <s v="احمد فخرى "/>
    <x v="0"/>
    <x v="0"/>
    <x v="0"/>
    <s v="٦ اكتوبر الجيزه "/>
    <x v="0"/>
    <x v="0"/>
    <s v="فردى"/>
    <s v="نوفال"/>
    <n v="80"/>
    <s v="أبيض"/>
    <s v="سرير فردى خشب موسكى الحديد ابيض مقاس ٨٠"/>
    <x v="11"/>
    <x v="1"/>
    <n v="5895"/>
    <x v="0"/>
    <x v="1"/>
    <x v="5"/>
    <x v="9"/>
    <x v="8"/>
    <x v="2"/>
    <x v="2"/>
    <x v="2"/>
  </r>
  <r>
    <s v="لينا "/>
    <x v="0"/>
    <x v="1"/>
    <x v="6"/>
    <s v="المقطم "/>
    <x v="0"/>
    <x v="1"/>
    <s v="2 ميكانزم"/>
    <m/>
    <s v="غير متوفر"/>
    <s v="غير محدد"/>
    <s v="ترابيزه قهوه علويه جديده "/>
    <x v="12"/>
    <x v="0"/>
    <s v="مسبق الدفع"/>
    <x v="2"/>
    <x v="8"/>
    <x v="7"/>
    <x v="10"/>
    <x v="7"/>
    <x v="9"/>
    <x v="0"/>
    <x v="3"/>
  </r>
  <r>
    <s v="فيصل نعيم "/>
    <x v="0"/>
    <x v="0"/>
    <x v="5"/>
    <s v="التجمع الخامس "/>
    <x v="4"/>
    <x v="0"/>
    <s v="دورين"/>
    <s v="كيفنج"/>
    <n v="120"/>
    <s v="أسود"/>
    <s v="٢ سرير كيفنج ١٢٠ اسود "/>
    <x v="13"/>
    <x v="1"/>
    <n v="9700"/>
    <x v="1"/>
    <x v="9"/>
    <x v="1"/>
    <x v="11"/>
    <x v="7"/>
    <x v="10"/>
    <x v="3"/>
    <x v="0"/>
  </r>
  <r>
    <s v="فيصل نعيم "/>
    <x v="0"/>
    <x v="0"/>
    <x v="5"/>
    <s v="التجمع الخامس "/>
    <x v="4"/>
    <x v="0"/>
    <s v="دورين"/>
    <s v="كيفنج"/>
    <n v="120"/>
    <s v="أسود"/>
    <s v="٢ سرير كيفنج ١٢٠ اسود "/>
    <x v="13"/>
    <x v="1"/>
    <n v="9700"/>
    <x v="1"/>
    <x v="9"/>
    <x v="1"/>
    <x v="11"/>
    <x v="7"/>
    <x v="10"/>
    <x v="3"/>
    <x v="0"/>
  </r>
  <r>
    <s v="ellho elkafy"/>
    <x v="0"/>
    <x v="0"/>
    <x v="5"/>
    <s v="مدينه نصر "/>
    <x v="0"/>
    <x v="0"/>
    <s v="دورين"/>
    <s v="كينج"/>
    <n v="80"/>
    <s v="أبيض"/>
    <s v="سرير كينج ابيض مقاس ٨٠ التصميم الجديد "/>
    <x v="14"/>
    <x v="1"/>
    <n v="11310"/>
    <x v="0"/>
    <x v="1"/>
    <x v="8"/>
    <x v="10"/>
    <x v="9"/>
    <x v="2"/>
    <x v="2"/>
    <x v="2"/>
  </r>
  <r>
    <s v="احمد "/>
    <x v="0"/>
    <x v="0"/>
    <x v="5"/>
    <s v="القاهره الجديده"/>
    <x v="0"/>
    <x v="0"/>
    <s v="فردى"/>
    <s v="فورجينا"/>
    <n v="80"/>
    <s v="أبيض"/>
    <s v="٤سرير فردى خشب موسكى الحديد ابيض مقاس ٨٠"/>
    <x v="15"/>
    <x v="0"/>
    <s v="مسبق الدفع"/>
    <x v="2"/>
    <x v="10"/>
    <x v="9"/>
    <x v="12"/>
    <x v="7"/>
    <x v="11"/>
    <x v="3"/>
    <x v="0"/>
  </r>
  <r>
    <s v="تاكى"/>
    <x v="1"/>
    <x v="2"/>
    <x v="5"/>
    <s v="العباسيه"/>
    <x v="3"/>
    <x v="4"/>
    <s v="فنسيا"/>
    <m/>
    <s v="غير متوفر"/>
    <s v="غير محدد"/>
    <s v="٢ فوتيه فنيسيا "/>
    <x v="16"/>
    <x v="1"/>
    <n v="9300"/>
    <x v="2"/>
    <x v="11"/>
    <x v="10"/>
    <x v="10"/>
    <x v="6"/>
    <x v="7"/>
    <x v="3"/>
    <x v="0"/>
  </r>
  <r>
    <s v="احمد "/>
    <x v="0"/>
    <x v="0"/>
    <x v="5"/>
    <s v="القاهره الجديده"/>
    <x v="0"/>
    <x v="0"/>
    <s v="فردى"/>
    <s v="فورجينا"/>
    <n v="80"/>
    <s v="أبيض"/>
    <s v="٤سرير فردى خشب موسكى الحديد ابيض مقاس ٨٠"/>
    <x v="15"/>
    <x v="0"/>
    <s v="مسبق الدفع"/>
    <x v="2"/>
    <x v="10"/>
    <x v="9"/>
    <x v="12"/>
    <x v="7"/>
    <x v="11"/>
    <x v="3"/>
    <x v="0"/>
  </r>
  <r>
    <s v="احمد "/>
    <x v="0"/>
    <x v="0"/>
    <x v="5"/>
    <s v="القاهره الجديده"/>
    <x v="0"/>
    <x v="0"/>
    <s v="فردى"/>
    <s v="فورجينا"/>
    <n v="80"/>
    <s v="أبيض"/>
    <s v="٤سرير فردى خشب موسكى الحديد ابيض مقاس ٨٠"/>
    <x v="15"/>
    <x v="0"/>
    <s v="مسبق الدفع"/>
    <x v="2"/>
    <x v="10"/>
    <x v="9"/>
    <x v="12"/>
    <x v="7"/>
    <x v="11"/>
    <x v="3"/>
    <x v="0"/>
  </r>
  <r>
    <s v="احمد "/>
    <x v="0"/>
    <x v="0"/>
    <x v="5"/>
    <s v="القاهره الجديده"/>
    <x v="0"/>
    <x v="0"/>
    <s v="فردى"/>
    <s v="فورجينا"/>
    <n v="80"/>
    <s v="أبيض"/>
    <s v="٤سرير فردى خشب موسكى الحديد ابيض مقاس ٨٠"/>
    <x v="15"/>
    <x v="0"/>
    <s v="مسبق الدفع"/>
    <x v="2"/>
    <x v="10"/>
    <x v="9"/>
    <x v="12"/>
    <x v="7"/>
    <x v="11"/>
    <x v="3"/>
    <x v="0"/>
  </r>
  <r>
    <s v="صفاء"/>
    <x v="0"/>
    <x v="1"/>
    <x v="5"/>
    <s v="المعادى"/>
    <x v="0"/>
    <x v="1"/>
    <s v="2 ميكانزم"/>
    <m/>
    <s v="غير متوفر"/>
    <s v="غير محدد"/>
    <s v="ترابيزه قهوه علويه جديده "/>
    <x v="17"/>
    <x v="0"/>
    <s v="مسبق الدفع"/>
    <x v="0"/>
    <x v="1"/>
    <x v="11"/>
    <x v="11"/>
    <x v="10"/>
    <x v="2"/>
    <x v="2"/>
    <x v="2"/>
  </r>
  <r>
    <s v="حسن حازم"/>
    <x v="0"/>
    <x v="0"/>
    <x v="0"/>
    <s v="٦ اكتوبر الجيزه "/>
    <x v="0"/>
    <x v="0"/>
    <s v="فردى"/>
    <s v="اسبانى"/>
    <n v="120"/>
    <s v="أبيض"/>
    <s v="سرير اسبانى ابيض ١٢٠"/>
    <x v="18"/>
    <x v="0"/>
    <s v="مسبق الدفع"/>
    <x v="2"/>
    <x v="9"/>
    <x v="12"/>
    <x v="13"/>
    <x v="11"/>
    <x v="11"/>
    <x v="3"/>
    <x v="0"/>
  </r>
  <r>
    <s v="شيك هومز "/>
    <x v="1"/>
    <x v="2"/>
    <x v="4"/>
    <m/>
    <x v="1"/>
    <x v="0"/>
    <s v="دورين"/>
    <s v="كينج"/>
    <s v="غير متوفر"/>
    <s v="أبيض"/>
    <s v="سرير كينج ابيض "/>
    <x v="19"/>
    <x v="1"/>
    <n v="5781.75"/>
    <x v="2"/>
    <x v="12"/>
    <x v="13"/>
    <x v="8"/>
    <x v="12"/>
    <x v="11"/>
    <x v="3"/>
    <x v="0"/>
  </r>
  <r>
    <s v="شيك هومز "/>
    <x v="1"/>
    <x v="2"/>
    <x v="4"/>
    <m/>
    <x v="1"/>
    <x v="0"/>
    <s v="دورين"/>
    <s v="كينج"/>
    <s v="غير متوفر"/>
    <s v="أسود"/>
    <s v="سرير كينج اسود "/>
    <x v="19"/>
    <x v="1"/>
    <n v="1278.53"/>
    <x v="2"/>
    <x v="12"/>
    <x v="13"/>
    <x v="8"/>
    <x v="12"/>
    <x v="11"/>
    <x v="3"/>
    <x v="0"/>
  </r>
  <r>
    <s v="اوسكار راتن"/>
    <x v="1"/>
    <x v="2"/>
    <x v="7"/>
    <s v="مخزن اوسكار في القناطر "/>
    <x v="4"/>
    <x v="0"/>
    <s v="فردى"/>
    <s v="فورجينا"/>
    <n v="120"/>
    <s v="أبيض"/>
    <s v="٢ سريرفورجينا خشب موسكى ابيض مقاس ١٢٠"/>
    <x v="20"/>
    <x v="2"/>
    <s v="حساب شركه"/>
    <x v="2"/>
    <x v="13"/>
    <x v="5"/>
    <x v="14"/>
    <x v="13"/>
    <x v="12"/>
    <x v="3"/>
    <x v="0"/>
  </r>
  <r>
    <s v="اوسكار راتن"/>
    <x v="1"/>
    <x v="2"/>
    <x v="7"/>
    <s v="مخزن اوسكار في القناطر "/>
    <x v="4"/>
    <x v="0"/>
    <s v="فردى"/>
    <s v="فورجينا"/>
    <n v="120"/>
    <s v="أبيض"/>
    <s v="٢ سريرفورجينا خشب موسكى ابيض مقاس ١٢٠"/>
    <x v="20"/>
    <x v="2"/>
    <s v="حساب شركه"/>
    <x v="2"/>
    <x v="13"/>
    <x v="5"/>
    <x v="14"/>
    <x v="13"/>
    <x v="12"/>
    <x v="3"/>
    <x v="0"/>
  </r>
  <r>
    <s v="اوسكار راتن"/>
    <x v="1"/>
    <x v="2"/>
    <x v="7"/>
    <s v="مخزن اوسكار في القناطر "/>
    <x v="4"/>
    <x v="0"/>
    <s v="فردى"/>
    <s v="ارفيل"/>
    <n v="120"/>
    <s v="أسود"/>
    <s v="٢ سرير ارفيل ١٢٠ اسود "/>
    <x v="20"/>
    <x v="0"/>
    <s v="مسبق الدفع"/>
    <x v="2"/>
    <x v="13"/>
    <x v="5"/>
    <x v="14"/>
    <x v="13"/>
    <x v="12"/>
    <x v="3"/>
    <x v="0"/>
  </r>
  <r>
    <s v="اوسكار راتن"/>
    <x v="1"/>
    <x v="2"/>
    <x v="7"/>
    <s v="مخزن اوسكار في القناطر "/>
    <x v="4"/>
    <x v="0"/>
    <s v="فردى"/>
    <s v="ارفيل"/>
    <n v="120"/>
    <s v="أسود"/>
    <s v="٢ سرير ارفيل ١٢٠ اسود "/>
    <x v="20"/>
    <x v="0"/>
    <s v="مسبق الدفع"/>
    <x v="2"/>
    <x v="13"/>
    <x v="5"/>
    <x v="14"/>
    <x v="13"/>
    <x v="12"/>
    <x v="3"/>
    <x v="0"/>
  </r>
  <r>
    <s v="صفاء الحكيم"/>
    <x v="0"/>
    <x v="1"/>
    <x v="8"/>
    <s v="العين السخنه"/>
    <x v="0"/>
    <x v="0"/>
    <s v="منطبق"/>
    <m/>
    <s v="غير متوفر"/>
    <s v="أسود"/>
    <s v="سرير منطببق اسود وقماش اسود"/>
    <x v="21"/>
    <x v="0"/>
    <s v="مسبق الدفع"/>
    <x v="0"/>
    <x v="1"/>
    <x v="12"/>
    <x v="15"/>
    <x v="14"/>
    <x v="2"/>
    <x v="1"/>
    <x v="1"/>
  </r>
  <r>
    <s v="يوسف شناوى"/>
    <x v="0"/>
    <x v="0"/>
    <x v="1"/>
    <s v="الابراهيميه . الإسكندرية "/>
    <x v="0"/>
    <x v="1"/>
    <s v="رف سحاب"/>
    <m/>
    <s v="غير متوفر"/>
    <s v="غير محدد"/>
    <s v="ترابيزه قهوه علويه برف سحاب "/>
    <x v="22"/>
    <x v="0"/>
    <s v="مسبق الدفع"/>
    <x v="2"/>
    <x v="13"/>
    <x v="12"/>
    <x v="15"/>
    <x v="14"/>
    <x v="13"/>
    <x v="0"/>
    <x v="0"/>
  </r>
  <r>
    <s v="حاتم العيسوي "/>
    <x v="0"/>
    <x v="0"/>
    <x v="0"/>
    <s v="٦ اكتوبر الجيزه "/>
    <x v="0"/>
    <x v="0"/>
    <s v="منطبق"/>
    <m/>
    <s v="غير متوفر"/>
    <s v="أسود"/>
    <s v="سرير منطبق اسود حديد وقماش"/>
    <x v="21"/>
    <x v="0"/>
    <s v="مسبق الدفع"/>
    <x v="2"/>
    <x v="14"/>
    <x v="10"/>
    <x v="16"/>
    <x v="15"/>
    <x v="14"/>
    <x v="0"/>
    <x v="0"/>
  </r>
  <r>
    <s v="رنا "/>
    <x v="0"/>
    <x v="1"/>
    <x v="5"/>
    <s v="القطاميه "/>
    <x v="0"/>
    <x v="1"/>
    <s v="2 ميكانزم"/>
    <m/>
    <s v="غير متوفر"/>
    <s v="غير محدد"/>
    <s v="ترابيزه قهوه علويه جديده "/>
    <x v="12"/>
    <x v="1"/>
    <n v="7928"/>
    <x v="0"/>
    <x v="1"/>
    <x v="8"/>
    <x v="14"/>
    <x v="16"/>
    <x v="2"/>
    <x v="0"/>
    <x v="0"/>
  </r>
  <r>
    <s v="عبير نور الدين"/>
    <x v="0"/>
    <x v="1"/>
    <x v="0"/>
    <s v="١٨ شارع البحيري بولاق الدكرور الجيزه "/>
    <x v="2"/>
    <x v="0"/>
    <s v="ثلاثه ادوار"/>
    <s v="كيفنج"/>
    <n v="100"/>
    <s v="أسود"/>
    <s v="سرير ٣ ادورا اسود مقاس ١٠٠ "/>
    <x v="23"/>
    <x v="1"/>
    <n v="9450"/>
    <x v="0"/>
    <x v="1"/>
    <x v="8"/>
    <x v="14"/>
    <x v="16"/>
    <x v="2"/>
    <x v="2"/>
    <x v="2"/>
  </r>
  <r>
    <s v="اسراء ابو العنين "/>
    <x v="0"/>
    <x v="1"/>
    <x v="5"/>
    <s v="القاهره الجديده"/>
    <x v="0"/>
    <x v="0"/>
    <s v="فردى"/>
    <s v="اسبانى"/>
    <n v="120"/>
    <s v="أسود"/>
    <s v="سرير اسبانى اسود مقاس ١٢٠"/>
    <x v="24"/>
    <x v="0"/>
    <s v="مسبق الدفع"/>
    <x v="2"/>
    <x v="12"/>
    <x v="1"/>
    <x v="16"/>
    <x v="16"/>
    <x v="15"/>
    <x v="3"/>
    <x v="0"/>
  </r>
  <r>
    <s v="وائل صادق"/>
    <x v="0"/>
    <x v="0"/>
    <x v="5"/>
    <s v="القاهره الجديده"/>
    <x v="0"/>
    <x v="0"/>
    <s v="فردى"/>
    <s v="كورين"/>
    <n v="140"/>
    <s v="رمادي"/>
    <s v="سرير كوين مقاس ١٤٠ دهبي ورمادى "/>
    <x v="25"/>
    <x v="0"/>
    <s v="مسبق الدفع"/>
    <x v="2"/>
    <x v="12"/>
    <x v="1"/>
    <x v="16"/>
    <x v="16"/>
    <x v="15"/>
    <x v="3"/>
    <x v="0"/>
  </r>
  <r>
    <s v="حسن مغرب "/>
    <x v="0"/>
    <x v="0"/>
    <x v="0"/>
    <s v="٦ اكتوبر الجيزه "/>
    <x v="0"/>
    <x v="0"/>
    <s v="دورين"/>
    <s v="كيفنج"/>
    <n v="120"/>
    <s v="رمادي"/>
    <s v="سرير كيفنج ١٢٠ رمادى "/>
    <x v="26"/>
    <x v="0"/>
    <s v="مسبق الدفع"/>
    <x v="2"/>
    <x v="15"/>
    <x v="1"/>
    <x v="15"/>
    <x v="17"/>
    <x v="16"/>
    <x v="3"/>
    <x v="0"/>
  </r>
  <r>
    <s v="على السيد "/>
    <x v="0"/>
    <x v="0"/>
    <x v="5"/>
    <s v="الشروق القاهره "/>
    <x v="0"/>
    <x v="0"/>
    <s v="دورين"/>
    <s v="نوفال"/>
    <n v="90"/>
    <s v="أسود"/>
    <s v="سرير نوفال  ٩٠ اسود "/>
    <x v="27"/>
    <x v="0"/>
    <s v="مسبق الدفع"/>
    <x v="0"/>
    <x v="1"/>
    <x v="14"/>
    <x v="14"/>
    <x v="18"/>
    <x v="2"/>
    <x v="2"/>
    <x v="2"/>
  </r>
  <r>
    <s v="هشام بسيونى "/>
    <x v="0"/>
    <x v="0"/>
    <x v="0"/>
    <s v="حدايق الاهرام "/>
    <x v="0"/>
    <x v="0"/>
    <s v="دورين"/>
    <s v="كيفنج"/>
    <n v="100"/>
    <s v="أسود"/>
    <s v="            ٢ سرير كيفنج ١٠٠ اسود "/>
    <x v="28"/>
    <x v="1"/>
    <n v="10749"/>
    <x v="2"/>
    <x v="12"/>
    <x v="14"/>
    <x v="14"/>
    <x v="18"/>
    <x v="16"/>
    <x v="3"/>
    <x v="0"/>
  </r>
  <r>
    <s v="هشام بسيونى "/>
    <x v="0"/>
    <x v="0"/>
    <x v="0"/>
    <s v="حدايق الاهرام "/>
    <x v="0"/>
    <x v="0"/>
    <s v="دورين"/>
    <s v="كيفنج"/>
    <n v="100"/>
    <s v="أسود"/>
    <s v="            ٢ سرير كيفنج ١٠٠ اسود "/>
    <x v="28"/>
    <x v="1"/>
    <n v="10749"/>
    <x v="2"/>
    <x v="12"/>
    <x v="14"/>
    <x v="14"/>
    <x v="18"/>
    <x v="16"/>
    <x v="3"/>
    <x v="0"/>
  </r>
  <r>
    <s v="احمد "/>
    <x v="0"/>
    <x v="0"/>
    <x v="5"/>
    <s v="الشروق"/>
    <x v="0"/>
    <x v="0"/>
    <s v="ثلاثه ادوار"/>
    <s v="كيفنج"/>
    <n v="80"/>
    <s v="أبيض"/>
    <s v="سرير ٣ ادوار ابيض مقاس ٨٠ ابيض "/>
    <x v="29"/>
    <x v="0"/>
    <s v="مسبق الدفع"/>
    <x v="2"/>
    <x v="12"/>
    <x v="14"/>
    <x v="16"/>
    <x v="19"/>
    <x v="15"/>
    <x v="3"/>
    <x v="0"/>
  </r>
  <r>
    <s v="ساره وجيه "/>
    <x v="0"/>
    <x v="1"/>
    <x v="3"/>
    <s v="الغردقه "/>
    <x v="0"/>
    <x v="0"/>
    <s v="دورين"/>
    <s v="كيفنج"/>
    <n v="80"/>
    <s v="أبيض"/>
    <s v="سرير كيفنج دورين مقاس ٨٠ ابيض "/>
    <x v="30"/>
    <x v="0"/>
    <s v="مسبق الدفع"/>
    <x v="2"/>
    <x v="16"/>
    <x v="14"/>
    <x v="16"/>
    <x v="19"/>
    <x v="17"/>
    <x v="0"/>
    <x v="0"/>
  </r>
  <r>
    <s v="مها "/>
    <x v="0"/>
    <x v="1"/>
    <x v="8"/>
    <s v="لافيستا العين السخنه "/>
    <x v="0"/>
    <x v="0"/>
    <s v="دورين"/>
    <s v="كيفنج"/>
    <n v="140"/>
    <s v="أزرق"/>
    <s v="سرير استيل ازرق مقاس ١٤٠"/>
    <x v="31"/>
    <x v="0"/>
    <s v="مسبق الدفع"/>
    <x v="2"/>
    <x v="12"/>
    <x v="14"/>
    <x v="16"/>
    <x v="19"/>
    <x v="15"/>
    <x v="0"/>
    <x v="0"/>
  </r>
  <r>
    <s v="بسام الشربينى "/>
    <x v="0"/>
    <x v="0"/>
    <x v="0"/>
    <s v="٦ اكتوبر الجيزه "/>
    <x v="0"/>
    <x v="0"/>
    <s v="دورين"/>
    <s v="كينج"/>
    <n v="120"/>
    <s v="بنفسجي"/>
    <s v="سرير كينج ١٢٠ بنفسجى "/>
    <x v="32"/>
    <x v="0"/>
    <s v="مسبق الدفع"/>
    <x v="2"/>
    <x v="17"/>
    <x v="14"/>
    <x v="16"/>
    <x v="19"/>
    <x v="18"/>
    <x v="3"/>
    <x v="0"/>
  </r>
  <r>
    <s v="هبه عبد الفتاح "/>
    <x v="0"/>
    <x v="1"/>
    <x v="5"/>
    <s v="القاهره الجديده "/>
    <x v="0"/>
    <x v="0"/>
    <s v="4*1"/>
    <m/>
    <s v="غير متوفر"/>
    <s v="غير محدد"/>
    <s v="كنبه سرير ٤ حركه "/>
    <x v="33"/>
    <x v="0"/>
    <s v="مسبق الدفع"/>
    <x v="0"/>
    <x v="1"/>
    <x v="14"/>
    <x v="16"/>
    <x v="19"/>
    <x v="2"/>
    <x v="3"/>
    <x v="0"/>
  </r>
  <r>
    <s v="اسراء ابراهيم "/>
    <x v="0"/>
    <x v="1"/>
    <x v="0"/>
    <s v="٦ اكتوبر الجيزه "/>
    <x v="0"/>
    <x v="0"/>
    <s v="دورين"/>
    <s v="كيفنج"/>
    <n v="80"/>
    <s v="أبيض"/>
    <s v="سرير كيفنج دورين مقاس ٨٠ ابيض "/>
    <x v="30"/>
    <x v="0"/>
    <s v="مسبق الدفع"/>
    <x v="2"/>
    <x v="18"/>
    <x v="14"/>
    <x v="16"/>
    <x v="19"/>
    <x v="19"/>
    <x v="3"/>
    <x v="0"/>
  </r>
  <r>
    <s v="طارق كمال "/>
    <x v="0"/>
    <x v="0"/>
    <x v="5"/>
    <s v="المعادى"/>
    <x v="0"/>
    <x v="0"/>
    <s v="ثلاثه ادوار"/>
    <s v="كيفنج"/>
    <n v="90"/>
    <s v="أسود"/>
    <s v="سرير ٣ ادوار اسود مقاس ٩٠ "/>
    <x v="34"/>
    <x v="0"/>
    <s v="مسبق الدفع"/>
    <x v="2"/>
    <x v="8"/>
    <x v="14"/>
    <x v="16"/>
    <x v="19"/>
    <x v="20"/>
    <x v="3"/>
    <x v="0"/>
  </r>
  <r>
    <s v="ديفد بهجت "/>
    <x v="0"/>
    <x v="0"/>
    <x v="0"/>
    <s v="فيصل الجيزه"/>
    <x v="0"/>
    <x v="5"/>
    <s v="2 ميكانزم"/>
    <m/>
    <s v="غير متوفر"/>
    <s v="غير محدد"/>
    <s v="تربيزه قهوه ٢ رافع"/>
    <x v="22"/>
    <x v="0"/>
    <s v="مسبق الدفع"/>
    <x v="2"/>
    <x v="17"/>
    <x v="15"/>
    <x v="15"/>
    <x v="10"/>
    <x v="21"/>
    <x v="3"/>
    <x v="0"/>
  </r>
  <r>
    <s v="اياد "/>
    <x v="0"/>
    <x v="0"/>
    <x v="6"/>
    <s v="المقطم "/>
    <x v="0"/>
    <x v="1"/>
    <s v="بمكتبة"/>
    <m/>
    <s v="غير متوفر"/>
    <s v="غير محدد"/>
    <s v="ترابيزه قهوه متحركه "/>
    <x v="12"/>
    <x v="0"/>
    <s v="مسبق الدفع"/>
    <x v="2"/>
    <x v="19"/>
    <x v="16"/>
    <x v="15"/>
    <x v="20"/>
    <x v="22"/>
    <x v="3"/>
    <x v="0"/>
  </r>
  <r>
    <s v="ميار خورشد"/>
    <x v="0"/>
    <x v="1"/>
    <x v="0"/>
    <s v="٦ اكتوبر الجيزه "/>
    <x v="0"/>
    <x v="0"/>
    <s v="منطبق"/>
    <m/>
    <s v="غير متوفر"/>
    <s v="أسود"/>
    <s v="سرير منطبق اسود حديد ومعدن "/>
    <x v="21"/>
    <x v="0"/>
    <s v="مسبق الدفع"/>
    <x v="1"/>
    <x v="20"/>
    <x v="16"/>
    <x v="15"/>
    <x v="20"/>
    <x v="19"/>
    <x v="3"/>
    <x v="0"/>
  </r>
  <r>
    <s v="عبد الله سيد "/>
    <x v="0"/>
    <x v="0"/>
    <x v="0"/>
    <s v="الشيخ زايد ٦ اكتوبر "/>
    <x v="0"/>
    <x v="0"/>
    <s v="فردى"/>
    <s v="اسبانى"/>
    <n v="140"/>
    <s v="أسود"/>
    <s v="سرير اسبانى  ١٤٠ اسود وبيج "/>
    <x v="35"/>
    <x v="0"/>
    <s v="مسبق الدفع"/>
    <x v="1"/>
    <x v="20"/>
    <x v="16"/>
    <x v="15"/>
    <x v="20"/>
    <x v="19"/>
    <x v="3"/>
    <x v="0"/>
  </r>
  <r>
    <s v="كينج سونا "/>
    <x v="0"/>
    <x v="2"/>
    <x v="5"/>
    <s v="الشروق"/>
    <x v="0"/>
    <x v="5"/>
    <s v="رف سحاب"/>
    <m/>
    <s v="غير متوفر"/>
    <s v="غير محدد"/>
    <s v="تربيزه قهوه مرتفعه برف سحاب "/>
    <x v="22"/>
    <x v="0"/>
    <s v="مسبق الدفع"/>
    <x v="1"/>
    <x v="21"/>
    <x v="16"/>
    <x v="15"/>
    <x v="20"/>
    <x v="23"/>
    <x v="3"/>
    <x v="0"/>
  </r>
  <r>
    <s v="احمد خالد "/>
    <x v="0"/>
    <x v="0"/>
    <x v="5"/>
    <s v="الرحاب"/>
    <x v="0"/>
    <x v="0"/>
    <s v="فردى"/>
    <s v="فورجينا"/>
    <n v="120"/>
    <s v="أبيض"/>
    <s v=" ٢. سرير فورجينا ابيض مقاس ١٢٠"/>
    <x v="36"/>
    <x v="0"/>
    <s v="مسبق الدفع"/>
    <x v="0"/>
    <x v="1"/>
    <x v="16"/>
    <x v="15"/>
    <x v="20"/>
    <x v="2"/>
    <x v="2"/>
    <x v="2"/>
  </r>
  <r>
    <s v="احمد خالد "/>
    <x v="0"/>
    <x v="0"/>
    <x v="5"/>
    <s v="الرحاب"/>
    <x v="0"/>
    <x v="0"/>
    <s v="فردى"/>
    <s v="فورجينا"/>
    <n v="120"/>
    <s v="أبيض"/>
    <s v=" ٢. سرير فورجينا ابيض مقاس ١٢٠"/>
    <x v="36"/>
    <x v="0"/>
    <s v="مسبق الدفع"/>
    <x v="0"/>
    <x v="1"/>
    <x v="16"/>
    <x v="15"/>
    <x v="20"/>
    <x v="2"/>
    <x v="2"/>
    <x v="2"/>
  </r>
  <r>
    <s v="ساره"/>
    <x v="0"/>
    <x v="1"/>
    <x v="5"/>
    <s v="القاهره الجديده"/>
    <x v="0"/>
    <x v="0"/>
    <s v="فردى"/>
    <s v="اسبانى"/>
    <n v="120"/>
    <s v="أبيض"/>
    <s v="   ٢. سرير اسبانى ابيض ١٢٠"/>
    <x v="18"/>
    <x v="0"/>
    <s v="مسبق الدفع"/>
    <x v="1"/>
    <x v="5"/>
    <x v="16"/>
    <x v="15"/>
    <x v="20"/>
    <x v="24"/>
    <x v="3"/>
    <x v="0"/>
  </r>
  <r>
    <s v="ساره"/>
    <x v="0"/>
    <x v="1"/>
    <x v="5"/>
    <s v="القاهره الجديده"/>
    <x v="0"/>
    <x v="0"/>
    <s v="فردى"/>
    <s v="اسبانى"/>
    <n v="120"/>
    <s v="أبيض"/>
    <s v="   ٢. سرير اسبانى ابيض ١٢٠"/>
    <x v="18"/>
    <x v="0"/>
    <s v="مسبق الدفع"/>
    <x v="1"/>
    <x v="5"/>
    <x v="16"/>
    <x v="15"/>
    <x v="20"/>
    <x v="24"/>
    <x v="3"/>
    <x v="0"/>
  </r>
  <r>
    <s v="احمد ايمن "/>
    <x v="0"/>
    <x v="0"/>
    <x v="7"/>
    <s v="العبور"/>
    <x v="0"/>
    <x v="1"/>
    <s v="2 ميكانزم"/>
    <m/>
    <s v="غير متوفر"/>
    <s v="غير محدد"/>
    <s v="ترابيزه قهوه علويه جديده "/>
    <x v="37"/>
    <x v="0"/>
    <s v="مسبق الدفع"/>
    <x v="1"/>
    <x v="21"/>
    <x v="16"/>
    <x v="15"/>
    <x v="20"/>
    <x v="23"/>
    <x v="3"/>
    <x v="0"/>
  </r>
  <r>
    <s v="مصطفي غنيم "/>
    <x v="0"/>
    <x v="0"/>
    <x v="9"/>
    <s v="اسيوط "/>
    <x v="0"/>
    <x v="0"/>
    <s v="دورين"/>
    <s v="كيفنج"/>
    <n v="120"/>
    <s v="رمادي"/>
    <s v="سرير كيفنج دورين مقاس ١٢٠ رمادى "/>
    <x v="26"/>
    <x v="0"/>
    <s v="مسبق الدفع"/>
    <x v="1"/>
    <x v="16"/>
    <x v="17"/>
    <x v="15"/>
    <x v="21"/>
    <x v="25"/>
    <x v="0"/>
    <x v="0"/>
  </r>
  <r>
    <s v="حسام عبدون"/>
    <x v="0"/>
    <x v="0"/>
    <x v="3"/>
    <s v="الغردقه"/>
    <x v="0"/>
    <x v="0"/>
    <s v="4*1"/>
    <m/>
    <s v="غير متوفر"/>
    <s v="غير محدد"/>
    <s v="كنبه سرير ٤ حركه "/>
    <x v="33"/>
    <x v="0"/>
    <s v="مسبق الدفع"/>
    <x v="0"/>
    <x v="1"/>
    <x v="17"/>
    <x v="15"/>
    <x v="21"/>
    <x v="2"/>
    <x v="2"/>
    <x v="2"/>
  </r>
  <r>
    <s v="رامى "/>
    <x v="0"/>
    <x v="0"/>
    <x v="5"/>
    <s v="الشروق"/>
    <x v="0"/>
    <x v="0"/>
    <s v="دورين"/>
    <s v="نوفال"/>
    <n v="100"/>
    <s v="رمادي"/>
    <s v="سرير نوفال ١٠٠ رمادى "/>
    <x v="38"/>
    <x v="0"/>
    <s v="مسبق الدفع"/>
    <x v="1"/>
    <x v="14"/>
    <x v="17"/>
    <x v="15"/>
    <x v="21"/>
    <x v="26"/>
    <x v="0"/>
    <x v="0"/>
  </r>
  <r>
    <s v="رحاب"/>
    <x v="0"/>
    <x v="1"/>
    <x v="5"/>
    <s v="القاهره الجديده"/>
    <x v="0"/>
    <x v="0"/>
    <s v="4*1"/>
    <m/>
    <s v="غير متوفر"/>
    <s v="غير محدد"/>
    <s v="كنبه سرير ٤ حركه "/>
    <x v="33"/>
    <x v="0"/>
    <s v="مسبق الدفع"/>
    <x v="1"/>
    <x v="22"/>
    <x v="17"/>
    <x v="15"/>
    <x v="21"/>
    <x v="27"/>
    <x v="3"/>
    <x v="0"/>
  </r>
  <r>
    <s v="فؤاد المنسي "/>
    <x v="0"/>
    <x v="0"/>
    <x v="6"/>
    <s v="المقطم "/>
    <x v="0"/>
    <x v="0"/>
    <s v="دورين"/>
    <s v="نوفال"/>
    <n v="80"/>
    <s v="أبيض"/>
    <s v="سرير نوفال مقاس ٨٠ ابيض "/>
    <x v="30"/>
    <x v="0"/>
    <s v="مسبق الدفع"/>
    <x v="1"/>
    <x v="18"/>
    <x v="17"/>
    <x v="15"/>
    <x v="21"/>
    <x v="17"/>
    <x v="3"/>
    <x v="0"/>
  </r>
  <r>
    <s v="mohannad"/>
    <x v="0"/>
    <x v="0"/>
    <x v="6"/>
    <s v="EL-Maadi"/>
    <x v="0"/>
    <x v="0"/>
    <s v="دورين"/>
    <s v="كيفنج"/>
    <n v="80"/>
    <s v="أبيض"/>
    <s v="سرير كيفينج دورين مقاس 80 لون ابيض"/>
    <x v="30"/>
    <x v="0"/>
    <s v="مسبق الدفع"/>
    <x v="1"/>
    <x v="20"/>
    <x v="18"/>
    <x v="17"/>
    <x v="21"/>
    <x v="17"/>
    <x v="3"/>
    <x v="0"/>
  </r>
  <r>
    <s v="mohannad"/>
    <x v="0"/>
    <x v="0"/>
    <x v="6"/>
    <s v="EL-Maadi"/>
    <x v="0"/>
    <x v="0"/>
    <s v="دورين"/>
    <s v="كيفنج"/>
    <n v="80"/>
    <s v="أبيض"/>
    <m/>
    <x v="30"/>
    <x v="0"/>
    <s v="مسبق الدفع"/>
    <x v="1"/>
    <x v="20"/>
    <x v="18"/>
    <x v="17"/>
    <x v="21"/>
    <x v="17"/>
    <x v="3"/>
    <x v="0"/>
  </r>
  <r>
    <s v="Mohamed Ayman"/>
    <x v="0"/>
    <x v="0"/>
    <x v="6"/>
    <s v="Madinet Badr"/>
    <x v="0"/>
    <x v="3"/>
    <s v="4*1"/>
    <m/>
    <m/>
    <s v="أسود"/>
    <m/>
    <x v="33"/>
    <x v="0"/>
    <s v="مسبق الدفع"/>
    <x v="1"/>
    <x v="23"/>
    <x v="18"/>
    <x v="17"/>
    <x v="21"/>
    <x v="23"/>
    <x v="3"/>
    <x v="0"/>
  </r>
  <r>
    <s v="اسامه"/>
    <x v="0"/>
    <x v="0"/>
    <x v="8"/>
    <s v="العين السخنه"/>
    <x v="0"/>
    <x v="1"/>
    <s v="2 ميكانزم"/>
    <m/>
    <m/>
    <m/>
    <m/>
    <x v="12"/>
    <x v="1"/>
    <n v="6306"/>
    <x v="2"/>
    <x v="24"/>
    <x v="19"/>
    <x v="18"/>
    <x v="22"/>
    <x v="28"/>
    <x v="0"/>
    <x v="0"/>
  </r>
  <r>
    <s v="اوسكار راتن"/>
    <x v="1"/>
    <x v="2"/>
    <x v="7"/>
    <s v="المخزن ابو الغيط "/>
    <x v="4"/>
    <x v="0"/>
    <s v="دورين"/>
    <s v="كيفنج"/>
    <n v="80"/>
    <s v="أبيض"/>
    <m/>
    <x v="39"/>
    <x v="2"/>
    <s v="حساب شركه"/>
    <x v="2"/>
    <x v="8"/>
    <x v="8"/>
    <x v="19"/>
    <x v="23"/>
    <x v="29"/>
    <x v="3"/>
    <x v="0"/>
  </r>
  <r>
    <s v="تاكى "/>
    <x v="1"/>
    <x v="2"/>
    <x v="5"/>
    <s v="العباسيه"/>
    <x v="3"/>
    <x v="0"/>
    <s v="دورين"/>
    <s v="كينج"/>
    <n v="100"/>
    <s v="اسود وبنى"/>
    <m/>
    <x v="40"/>
    <x v="2"/>
    <s v="حساب شركه"/>
    <x v="2"/>
    <x v="25"/>
    <x v="2"/>
    <x v="20"/>
    <x v="24"/>
    <x v="25"/>
    <x v="3"/>
    <x v="0"/>
  </r>
  <r>
    <s v="تاكى "/>
    <x v="1"/>
    <x v="2"/>
    <x v="5"/>
    <s v="العباسيه"/>
    <x v="3"/>
    <x v="0"/>
    <s v="دورين"/>
    <s v="كينج"/>
    <n v="100"/>
    <s v="اسود وبنى"/>
    <m/>
    <x v="40"/>
    <x v="2"/>
    <s v="حساب شركه"/>
    <x v="2"/>
    <x v="25"/>
    <x v="2"/>
    <x v="20"/>
    <x v="24"/>
    <x v="25"/>
    <x v="3"/>
    <x v="0"/>
  </r>
  <r>
    <s v="ولاء بدوى"/>
    <x v="0"/>
    <x v="1"/>
    <x v="5"/>
    <s v="العباسيه"/>
    <x v="0"/>
    <x v="0"/>
    <s v="فردى"/>
    <s v="فورجينا"/>
    <n v="120"/>
    <s v="أبيض"/>
    <m/>
    <x v="41"/>
    <x v="1"/>
    <n v="9033"/>
    <x v="1"/>
    <x v="0"/>
    <x v="16"/>
    <x v="21"/>
    <x v="25"/>
    <x v="30"/>
    <x v="3"/>
    <x v="0"/>
  </r>
  <r>
    <s v="عبد الرحمن يسري"/>
    <x v="0"/>
    <x v="0"/>
    <x v="0"/>
    <s v="اكتوبر الجيزه"/>
    <x v="0"/>
    <x v="1"/>
    <s v="رف سحاب"/>
    <m/>
    <m/>
    <m/>
    <m/>
    <x v="22"/>
    <x v="1"/>
    <n v="8433"/>
    <x v="0"/>
    <x v="1"/>
    <x v="16"/>
    <x v="21"/>
    <x v="25"/>
    <x v="2"/>
    <x v="2"/>
    <x v="2"/>
  </r>
  <r>
    <s v="شيك هومز "/>
    <x v="1"/>
    <x v="2"/>
    <x v="5"/>
    <s v="التجمع"/>
    <x v="1"/>
    <x v="3"/>
    <s v="4×1"/>
    <m/>
    <m/>
    <m/>
    <m/>
    <x v="42"/>
    <x v="0"/>
    <s v="مسبق الدفع"/>
    <x v="1"/>
    <x v="14"/>
    <x v="13"/>
    <x v="21"/>
    <x v="26"/>
    <x v="24"/>
    <x v="3"/>
    <x v="0"/>
  </r>
  <r>
    <s v="شيك هومز "/>
    <x v="1"/>
    <x v="2"/>
    <x v="4"/>
    <m/>
    <x v="1"/>
    <x v="0"/>
    <s v="دورين"/>
    <s v="كينج"/>
    <n v="100"/>
    <s v="أسود"/>
    <m/>
    <x v="19"/>
    <x v="1"/>
    <n v="9608"/>
    <x v="0"/>
    <x v="1"/>
    <x v="13"/>
    <x v="21"/>
    <x v="26"/>
    <x v="2"/>
    <x v="2"/>
    <x v="2"/>
  </r>
  <r>
    <s v="شيك هومز "/>
    <x v="1"/>
    <x v="2"/>
    <x v="4"/>
    <m/>
    <x v="1"/>
    <x v="0"/>
    <s v="فردى"/>
    <s v="اسبانى"/>
    <n v="120"/>
    <s v="أبيض"/>
    <m/>
    <x v="43"/>
    <x v="0"/>
    <s v="مسبق الدفع"/>
    <x v="2"/>
    <x v="3"/>
    <x v="6"/>
    <x v="22"/>
    <x v="27"/>
    <x v="21"/>
    <x v="3"/>
    <x v="0"/>
  </r>
  <r>
    <s v="اوسكار راتن"/>
    <x v="1"/>
    <x v="2"/>
    <x v="7"/>
    <s v="المخزن ابو الغيط "/>
    <x v="4"/>
    <x v="0"/>
    <s v="فردى"/>
    <s v="فورجينا"/>
    <n v="120"/>
    <s v="أبيض"/>
    <m/>
    <x v="20"/>
    <x v="2"/>
    <s v="حساب شركه"/>
    <x v="1"/>
    <x v="11"/>
    <x v="1"/>
    <x v="22"/>
    <x v="28"/>
    <x v="29"/>
    <x v="3"/>
    <x v="0"/>
  </r>
  <r>
    <s v="الحج محمد السويس"/>
    <x v="0"/>
    <x v="0"/>
    <x v="8"/>
    <s v="السويس "/>
    <x v="5"/>
    <x v="0"/>
    <s v="دورين"/>
    <s v="فانتاستك"/>
    <n v="100"/>
    <s v="ملون"/>
    <m/>
    <x v="44"/>
    <x v="3"/>
    <m/>
    <x v="1"/>
    <x v="26"/>
    <x v="12"/>
    <x v="23"/>
    <x v="29"/>
    <x v="27"/>
    <x v="4"/>
    <x v="0"/>
  </r>
  <r>
    <s v="الحج محمد السويس"/>
    <x v="0"/>
    <x v="0"/>
    <x v="8"/>
    <s v="السويس "/>
    <x v="5"/>
    <x v="0"/>
    <s v="منطبق"/>
    <m/>
    <m/>
    <s v="أسود"/>
    <m/>
    <x v="45"/>
    <x v="3"/>
    <m/>
    <x v="1"/>
    <x v="26"/>
    <x v="12"/>
    <x v="23"/>
    <x v="29"/>
    <x v="27"/>
    <x v="4"/>
    <x v="0"/>
  </r>
  <r>
    <s v="الحج محمد السويس"/>
    <x v="0"/>
    <x v="0"/>
    <x v="8"/>
    <s v="السويس "/>
    <x v="5"/>
    <x v="3"/>
    <s v="فنيسيا"/>
    <m/>
    <m/>
    <s v="أسود"/>
    <m/>
    <x v="46"/>
    <x v="3"/>
    <m/>
    <x v="1"/>
    <x v="26"/>
    <x v="12"/>
    <x v="23"/>
    <x v="29"/>
    <x v="27"/>
    <x v="4"/>
    <x v="0"/>
  </r>
  <r>
    <s v="الحج محمد السويس"/>
    <x v="0"/>
    <x v="0"/>
    <x v="8"/>
    <s v="السويس "/>
    <x v="5"/>
    <x v="6"/>
    <m/>
    <m/>
    <m/>
    <s v="أسود"/>
    <m/>
    <x v="47"/>
    <x v="3"/>
    <m/>
    <x v="1"/>
    <x v="26"/>
    <x v="12"/>
    <x v="23"/>
    <x v="29"/>
    <x v="27"/>
    <x v="4"/>
    <x v="0"/>
  </r>
  <r>
    <s v="عمرو الأسود"/>
    <x v="0"/>
    <x v="0"/>
    <x v="5"/>
    <s v="الزمالك"/>
    <x v="0"/>
    <x v="0"/>
    <s v="منطبق"/>
    <m/>
    <m/>
    <s v="أسود"/>
    <m/>
    <x v="48"/>
    <x v="1"/>
    <n v="8988"/>
    <x v="0"/>
    <x v="1"/>
    <x v="16"/>
    <x v="24"/>
    <x v="30"/>
    <x v="2"/>
    <x v="2"/>
    <x v="2"/>
  </r>
  <r>
    <s v="شيك هومز "/>
    <x v="1"/>
    <x v="2"/>
    <x v="6"/>
    <s v="مخزن شيك هومز"/>
    <x v="1"/>
    <x v="3"/>
    <s v="4×1"/>
    <m/>
    <m/>
    <s v="أسود"/>
    <m/>
    <x v="4"/>
    <x v="0"/>
    <s v="مسبق الدفع"/>
    <x v="2"/>
    <x v="3"/>
    <x v="6"/>
    <x v="25"/>
    <x v="20"/>
    <x v="22"/>
    <x v="3"/>
    <x v="0"/>
  </r>
  <r>
    <s v="شيك هومز "/>
    <x v="1"/>
    <x v="2"/>
    <x v="6"/>
    <s v="أكتوبر "/>
    <x v="1"/>
    <x v="3"/>
    <s v="4×1"/>
    <m/>
    <m/>
    <s v="أسود"/>
    <m/>
    <x v="4"/>
    <x v="0"/>
    <s v="مسبق الدفع"/>
    <x v="1"/>
    <x v="26"/>
    <x v="20"/>
    <x v="26"/>
    <x v="20"/>
    <x v="19"/>
    <x v="3"/>
    <x v="0"/>
  </r>
  <r>
    <s v="شيك هومز "/>
    <x v="1"/>
    <x v="2"/>
    <x v="4"/>
    <m/>
    <x v="1"/>
    <x v="3"/>
    <s v="4×1"/>
    <m/>
    <m/>
    <s v="أسود"/>
    <m/>
    <x v="4"/>
    <x v="1"/>
    <n v="11495"/>
    <x v="2"/>
    <x v="6"/>
    <x v="6"/>
    <x v="27"/>
    <x v="31"/>
    <x v="31"/>
    <x v="3"/>
    <x v="0"/>
  </r>
  <r>
    <s v="keira"/>
    <x v="0"/>
    <x v="0"/>
    <x v="5"/>
    <s v="القاهره الجديده "/>
    <x v="0"/>
    <x v="0"/>
    <s v="دورين"/>
    <s v="نوفال "/>
    <s v="١٤٠/١٠٠"/>
    <s v="بينك"/>
    <m/>
    <x v="49"/>
    <x v="1"/>
    <n v="13028"/>
    <x v="1"/>
    <x v="12"/>
    <x v="21"/>
    <x v="28"/>
    <x v="32"/>
    <x v="31"/>
    <x v="3"/>
    <x v="0"/>
  </r>
  <r>
    <s v="tarek"/>
    <x v="0"/>
    <x v="0"/>
    <x v="6"/>
    <s v="مصر الجديده"/>
    <x v="0"/>
    <x v="0"/>
    <s v="دورين"/>
    <s v="كيفنج"/>
    <n v="80"/>
    <s v="أبيض"/>
    <m/>
    <x v="10"/>
    <x v="0"/>
    <s v="مسبق الدفع"/>
    <x v="1"/>
    <x v="27"/>
    <x v="22"/>
    <x v="29"/>
    <x v="33"/>
    <x v="21"/>
    <x v="3"/>
    <x v="0"/>
  </r>
  <r>
    <s v="reem"/>
    <x v="0"/>
    <x v="0"/>
    <x v="1"/>
    <s v="البطاش اسكندريه"/>
    <x v="0"/>
    <x v="0"/>
    <s v="دورين"/>
    <s v="نوفال"/>
    <s v="١٠٠/١٤٠"/>
    <s v="بينك"/>
    <m/>
    <x v="49"/>
    <x v="0"/>
    <s v="مسبق الدفع"/>
    <x v="1"/>
    <x v="28"/>
    <x v="18"/>
    <x v="30"/>
    <x v="34"/>
    <x v="32"/>
    <x v="0"/>
    <x v="0"/>
  </r>
  <r>
    <s v="هشام سامى"/>
    <x v="0"/>
    <x v="0"/>
    <x v="6"/>
    <s v="41 كومبوند جولدن جستس الدور 4 شقه 4"/>
    <x v="6"/>
    <x v="0"/>
    <s v="فردى"/>
    <s v="بلحه"/>
    <n v="140"/>
    <s v="نبيتى "/>
    <m/>
    <x v="50"/>
    <x v="0"/>
    <s v="مسبق الدفع"/>
    <x v="1"/>
    <x v="22"/>
    <x v="23"/>
    <x v="31"/>
    <x v="30"/>
    <x v="28"/>
    <x v="3"/>
    <x v="0"/>
  </r>
  <r>
    <s v="شيك هومز "/>
    <x v="1"/>
    <x v="2"/>
    <x v="0"/>
    <s v="اكتوبر الجيزه"/>
    <x v="1"/>
    <x v="0"/>
    <s v="دورين"/>
    <s v="فانتستيك"/>
    <n v="100"/>
    <s v="الوان"/>
    <m/>
    <x v="51"/>
    <x v="1"/>
    <n v="11277.5"/>
    <x v="2"/>
    <x v="29"/>
    <x v="6"/>
    <x v="32"/>
    <x v="35"/>
    <x v="33"/>
    <x v="3"/>
    <x v="0"/>
  </r>
  <r>
    <s v="شيك هومز "/>
    <x v="1"/>
    <x v="2"/>
    <x v="0"/>
    <s v="اكتوبر الجيزه"/>
    <x v="1"/>
    <x v="0"/>
    <s v="دورين"/>
    <s v="فانتستيك"/>
    <n v="100"/>
    <s v="الوان"/>
    <m/>
    <x v="51"/>
    <x v="1"/>
    <n v="11277.5"/>
    <x v="2"/>
    <x v="29"/>
    <x v="6"/>
    <x v="32"/>
    <x v="35"/>
    <x v="33"/>
    <x v="3"/>
    <x v="0"/>
  </r>
  <r>
    <s v="اوسكار راتن"/>
    <x v="1"/>
    <x v="2"/>
    <x v="5"/>
    <s v="المعرض مدينه نصر"/>
    <x v="4"/>
    <x v="0"/>
    <s v="دورين"/>
    <s v="فانتستيك"/>
    <n v="100"/>
    <s v="الوان"/>
    <m/>
    <x v="52"/>
    <x v="2"/>
    <s v="حساب شركه"/>
    <x v="0"/>
    <x v="1"/>
    <x v="0"/>
    <x v="32"/>
    <x v="0"/>
    <x v="2"/>
    <x v="2"/>
    <x v="2"/>
  </r>
  <r>
    <s v="فاطمه محمد"/>
    <x v="0"/>
    <x v="1"/>
    <x v="0"/>
    <s v="أكتوبر الجيزه"/>
    <x v="0"/>
    <x v="0"/>
    <s v="فردى"/>
    <s v="فورجينا"/>
    <n v="120"/>
    <s v="أبيض"/>
    <m/>
    <x v="41"/>
    <x v="1"/>
    <n v="9007.01"/>
    <x v="2"/>
    <x v="30"/>
    <x v="24"/>
    <x v="33"/>
    <x v="36"/>
    <x v="33"/>
    <x v="3"/>
    <x v="0"/>
  </r>
  <r>
    <s v="شيك هومز "/>
    <x v="1"/>
    <x v="2"/>
    <x v="4"/>
    <m/>
    <x v="1"/>
    <x v="3"/>
    <s v="4×1"/>
    <m/>
    <m/>
    <s v="أسود"/>
    <m/>
    <x v="53"/>
    <x v="0"/>
    <s v="مسبق الدفع"/>
    <x v="1"/>
    <x v="31"/>
    <x v="6"/>
    <x v="34"/>
    <x v="36"/>
    <x v="22"/>
    <x v="3"/>
    <x v="0"/>
  </r>
  <r>
    <s v="شيك هومز "/>
    <x v="1"/>
    <x v="2"/>
    <x v="4"/>
    <m/>
    <x v="1"/>
    <x v="0"/>
    <s v="دورين"/>
    <s v="كينج"/>
    <n v="100"/>
    <s v="أسود"/>
    <m/>
    <x v="54"/>
    <x v="1"/>
    <n v="8879"/>
    <x v="0"/>
    <x v="1"/>
    <x v="6"/>
    <x v="35"/>
    <x v="37"/>
    <x v="2"/>
    <x v="2"/>
    <x v="2"/>
  </r>
  <r>
    <s v="ساره"/>
    <x v="0"/>
    <x v="1"/>
    <x v="0"/>
    <s v="الشيخ زايد اكتوبر"/>
    <x v="0"/>
    <x v="0"/>
    <s v="دورين"/>
    <s v="كينج"/>
    <n v="90"/>
    <s v="أسود"/>
    <m/>
    <x v="55"/>
    <x v="1"/>
    <n v="11749"/>
    <x v="2"/>
    <x v="6"/>
    <x v="2"/>
    <x v="35"/>
    <x v="25"/>
    <x v="33"/>
    <x v="3"/>
    <x v="0"/>
  </r>
  <r>
    <s v="ساره"/>
    <x v="0"/>
    <x v="1"/>
    <x v="0"/>
    <s v="الشيخ زايد اكتوبر"/>
    <x v="0"/>
    <x v="0"/>
    <s v="دورين"/>
    <s v="كينج"/>
    <n v="90"/>
    <s v="أسود"/>
    <m/>
    <x v="55"/>
    <x v="1"/>
    <n v="11749"/>
    <x v="2"/>
    <x v="6"/>
    <x v="2"/>
    <x v="35"/>
    <x v="25"/>
    <x v="33"/>
    <x v="3"/>
    <x v="0"/>
  </r>
  <r>
    <s v="بولا هومزمارت"/>
    <x v="0"/>
    <x v="2"/>
    <x v="5"/>
    <s v="المعادى"/>
    <x v="0"/>
    <x v="0"/>
    <s v="فردى"/>
    <s v="اسبانى"/>
    <n v="100"/>
    <s v="أبيض"/>
    <m/>
    <x v="56"/>
    <x v="1"/>
    <n v="4800"/>
    <x v="2"/>
    <x v="25"/>
    <x v="8"/>
    <x v="36"/>
    <x v="38"/>
    <x v="34"/>
    <x v="3"/>
    <x v="0"/>
  </r>
  <r>
    <s v="بولا هومزمارت"/>
    <x v="0"/>
    <x v="2"/>
    <x v="5"/>
    <s v="المعادى"/>
    <x v="0"/>
    <x v="0"/>
    <s v="فردى"/>
    <s v="اسبانى"/>
    <n v="120"/>
    <s v="أبيض"/>
    <m/>
    <x v="57"/>
    <x v="1"/>
    <n v="4800"/>
    <x v="2"/>
    <x v="25"/>
    <x v="8"/>
    <x v="36"/>
    <x v="38"/>
    <x v="34"/>
    <x v="3"/>
    <x v="0"/>
  </r>
  <r>
    <s v="محمد شكرى "/>
    <x v="0"/>
    <x v="0"/>
    <x v="5"/>
    <s v="مدينتى"/>
    <x v="0"/>
    <x v="0"/>
    <s v="دورين"/>
    <s v="كيفنج"/>
    <n v="80"/>
    <s v="أبيض"/>
    <m/>
    <x v="58"/>
    <x v="0"/>
    <s v="مسبق الدفع"/>
    <x v="2"/>
    <x v="4"/>
    <x v="2"/>
    <x v="37"/>
    <x v="39"/>
    <x v="35"/>
    <x v="3"/>
    <x v="0"/>
  </r>
  <r>
    <s v="شيك هومز"/>
    <x v="1"/>
    <x v="2"/>
    <x v="6"/>
    <s v="مخزن شيك هومز"/>
    <x v="1"/>
    <x v="3"/>
    <s v="4×1"/>
    <s v="ارينا"/>
    <m/>
    <s v="أسود"/>
    <m/>
    <x v="59"/>
    <x v="0"/>
    <s v="مسبق الدفع"/>
    <x v="1"/>
    <x v="31"/>
    <x v="25"/>
    <x v="38"/>
    <x v="40"/>
    <x v="28"/>
    <x v="3"/>
    <x v="0"/>
  </r>
  <r>
    <s v="منزلى"/>
    <x v="0"/>
    <x v="2"/>
    <x v="5"/>
    <s v="التجمع الخامس"/>
    <x v="6"/>
    <x v="0"/>
    <s v="فردى"/>
    <s v="فورجينا"/>
    <n v="120"/>
    <s v="أبيض"/>
    <m/>
    <x v="60"/>
    <x v="2"/>
    <s v="حساب شركه"/>
    <x v="1"/>
    <x v="32"/>
    <x v="7"/>
    <x v="39"/>
    <x v="41"/>
    <x v="34"/>
    <x v="3"/>
    <x v="0"/>
  </r>
  <r>
    <s v="اوسكار راتن"/>
    <x v="1"/>
    <x v="2"/>
    <x v="7"/>
    <s v="المخزن ابو الغيط "/>
    <x v="4"/>
    <x v="0"/>
    <s v="دورين"/>
    <s v="كينج"/>
    <n v="90"/>
    <s v="أسود"/>
    <m/>
    <x v="61"/>
    <x v="2"/>
    <s v="حساب شركه"/>
    <x v="1"/>
    <x v="11"/>
    <x v="8"/>
    <x v="40"/>
    <x v="39"/>
    <x v="36"/>
    <x v="3"/>
    <x v="0"/>
  </r>
  <r>
    <s v="حماده"/>
    <x v="0"/>
    <x v="0"/>
    <x v="5"/>
    <s v="المعادى"/>
    <x v="0"/>
    <x v="0"/>
    <s v="فردى"/>
    <s v="فورجينا"/>
    <n v="160"/>
    <s v="بنفسجي"/>
    <m/>
    <x v="62"/>
    <x v="0"/>
    <s v="مسبق الدفع"/>
    <x v="2"/>
    <x v="10"/>
    <x v="7"/>
    <x v="40"/>
    <x v="42"/>
    <x v="35"/>
    <x v="3"/>
    <x v="0"/>
  </r>
  <r>
    <s v="صفاء عبد الباقي"/>
    <x v="0"/>
    <x v="1"/>
    <x v="5"/>
    <s v="التجمع الخامس"/>
    <x v="0"/>
    <x v="0"/>
    <s v="دورين"/>
    <s v="كينج "/>
    <n v="80"/>
    <s v="أبيض"/>
    <m/>
    <x v="63"/>
    <x v="0"/>
    <s v="مسبق الدفع"/>
    <x v="1"/>
    <x v="11"/>
    <x v="26"/>
    <x v="41"/>
    <x v="43"/>
    <x v="35"/>
    <x v="3"/>
    <x v="0"/>
  </r>
  <r>
    <s v="اوسكار راتن"/>
    <x v="1"/>
    <x v="2"/>
    <x v="7"/>
    <s v="المخزن ابو الغيط "/>
    <x v="4"/>
    <x v="0"/>
    <s v="دورين"/>
    <s v="نوفال"/>
    <n v="120"/>
    <s v="رمادي"/>
    <m/>
    <x v="64"/>
    <x v="2"/>
    <s v="حساب شركه"/>
    <x v="1"/>
    <x v="32"/>
    <x v="1"/>
    <x v="41"/>
    <x v="44"/>
    <x v="36"/>
    <x v="3"/>
    <x v="0"/>
  </r>
  <r>
    <s v="اوسكار راتن"/>
    <x v="1"/>
    <x v="2"/>
    <x v="6"/>
    <s v="المخزن"/>
    <x v="4"/>
    <x v="0"/>
    <s v="دورين "/>
    <s v="نوفال"/>
    <n v="90"/>
    <s v="أسود"/>
    <m/>
    <x v="65"/>
    <x v="2"/>
    <s v="حساب شركه"/>
    <x v="1"/>
    <x v="32"/>
    <x v="1"/>
    <x v="41"/>
    <x v="44"/>
    <x v="36"/>
    <x v="3"/>
    <x v="0"/>
  </r>
  <r>
    <s v="رندا العامرى "/>
    <x v="0"/>
    <x v="1"/>
    <x v="0"/>
    <s v="٦ اكتوبر الجيزه "/>
    <x v="7"/>
    <x v="0"/>
    <s v="دورين "/>
    <s v="كيفنج "/>
    <n v="80"/>
    <s v="أبيض"/>
    <m/>
    <x v="66"/>
    <x v="0"/>
    <s v="مسبق الدفع"/>
    <x v="1"/>
    <x v="33"/>
    <x v="10"/>
    <x v="42"/>
    <x v="45"/>
    <x v="37"/>
    <x v="3"/>
    <x v="0"/>
  </r>
  <r>
    <s v="ساره"/>
    <x v="0"/>
    <x v="1"/>
    <x v="0"/>
    <s v="٦ اكتوبر الجيزه"/>
    <x v="0"/>
    <x v="0"/>
    <s v="دورين"/>
    <s v="كينج"/>
    <n v="90"/>
    <s v="أسود"/>
    <m/>
    <x v="67"/>
    <x v="1"/>
    <n v="13575"/>
    <x v="1"/>
    <x v="31"/>
    <x v="2"/>
    <x v="43"/>
    <x v="46"/>
    <x v="37"/>
    <x v="3"/>
    <x v="0"/>
  </r>
  <r>
    <s v="تاكى "/>
    <x v="1"/>
    <x v="2"/>
    <x v="5"/>
    <s v="العباسيه "/>
    <x v="3"/>
    <x v="0"/>
    <s v="فردى "/>
    <s v="امريكى"/>
    <n v="160"/>
    <s v="أسود"/>
    <m/>
    <x v="68"/>
    <x v="2"/>
    <s v="حساب شركه"/>
    <x v="0"/>
    <x v="1"/>
    <x v="24"/>
    <x v="41"/>
    <x v="47"/>
    <x v="2"/>
    <x v="2"/>
    <x v="2"/>
  </r>
  <r>
    <s v="محمد حمدى"/>
    <x v="0"/>
    <x v="0"/>
    <x v="6"/>
    <s v="مصر الجديده"/>
    <x v="2"/>
    <x v="0"/>
    <s v="فردى"/>
    <s v="كوين "/>
    <n v="160"/>
    <s v="دهبي"/>
    <m/>
    <x v="69"/>
    <x v="1"/>
    <n v="5800"/>
    <x v="1"/>
    <x v="27"/>
    <x v="9"/>
    <x v="44"/>
    <x v="48"/>
    <x v="35"/>
    <x v="3"/>
    <x v="0"/>
  </r>
  <r>
    <s v="بافلى هانى "/>
    <x v="0"/>
    <x v="0"/>
    <x v="5"/>
    <s v="شبرا "/>
    <x v="0"/>
    <x v="0"/>
    <s v="فردى "/>
    <s v="اسبانى "/>
    <n v="120"/>
    <s v="رمادي"/>
    <m/>
    <x v="70"/>
    <x v="1"/>
    <n v="7965"/>
    <x v="2"/>
    <x v="4"/>
    <x v="10"/>
    <x v="45"/>
    <x v="46"/>
    <x v="38"/>
    <x v="3"/>
    <x v="0"/>
  </r>
  <r>
    <s v="تاكى "/>
    <x v="1"/>
    <x v="2"/>
    <x v="5"/>
    <s v="العباسيه "/>
    <x v="3"/>
    <x v="3"/>
    <s v="t1"/>
    <s v="t1"/>
    <m/>
    <m/>
    <m/>
    <x v="9"/>
    <x v="1"/>
    <n v="6000"/>
    <x v="1"/>
    <x v="34"/>
    <x v="26"/>
    <x v="46"/>
    <x v="46"/>
    <x v="39"/>
    <x v="3"/>
    <x v="0"/>
  </r>
  <r>
    <s v="رنا ميلاد"/>
    <x v="0"/>
    <x v="1"/>
    <x v="1"/>
    <s v="جليم الإسكندرية "/>
    <x v="0"/>
    <x v="1"/>
    <m/>
    <s v="مكتبه"/>
    <m/>
    <m/>
    <m/>
    <x v="71"/>
    <x v="0"/>
    <s v="مسبق الدفع"/>
    <x v="2"/>
    <x v="35"/>
    <x v="1"/>
    <x v="47"/>
    <x v="49"/>
    <x v="40"/>
    <x v="0"/>
    <x v="0"/>
  </r>
  <r>
    <s v="محمد ناجى"/>
    <x v="0"/>
    <x v="0"/>
    <x v="5"/>
    <s v="مدينه نصر "/>
    <x v="0"/>
    <x v="1"/>
    <s v="دوران "/>
    <s v="ميكانزم"/>
    <m/>
    <s v="أبيض"/>
    <m/>
    <x v="72"/>
    <x v="1"/>
    <n v="6211"/>
    <x v="2"/>
    <x v="3"/>
    <x v="1"/>
    <x v="47"/>
    <x v="49"/>
    <x v="41"/>
    <x v="3"/>
    <x v="0"/>
  </r>
  <r>
    <s v="احمد عبد الستار"/>
    <x v="0"/>
    <x v="0"/>
    <x v="1"/>
    <s v="المندره اسكندريه"/>
    <x v="0"/>
    <x v="0"/>
    <s v="دورين"/>
    <s v="كيفنج"/>
    <n v="100"/>
    <s v="أسود"/>
    <m/>
    <x v="73"/>
    <x v="0"/>
    <s v="مسبق الدفع"/>
    <x v="0"/>
    <x v="1"/>
    <x v="26"/>
    <x v="48"/>
    <x v="50"/>
    <x v="2"/>
    <x v="5"/>
    <x v="2"/>
  </r>
  <r>
    <s v="نور "/>
    <x v="0"/>
    <x v="0"/>
    <x v="5"/>
    <s v="القاهره الجديده"/>
    <x v="0"/>
    <x v="1"/>
    <s v="دوران "/>
    <s v="ميكانزم"/>
    <m/>
    <s v="أسود"/>
    <m/>
    <x v="72"/>
    <x v="0"/>
    <s v="مسبق الدفع"/>
    <x v="0"/>
    <x v="1"/>
    <x v="7"/>
    <x v="49"/>
    <x v="51"/>
    <x v="2"/>
    <x v="2"/>
    <x v="2"/>
  </r>
  <r>
    <s v="نور"/>
    <x v="0"/>
    <x v="0"/>
    <x v="5"/>
    <s v="القاهره الجديده"/>
    <x v="0"/>
    <x v="1"/>
    <s v="رف سحاب"/>
    <m/>
    <m/>
    <s v="أسود"/>
    <m/>
    <x v="74"/>
    <x v="0"/>
    <s v="مسبق الدفع"/>
    <x v="0"/>
    <x v="1"/>
    <x v="7"/>
    <x v="49"/>
    <x v="51"/>
    <x v="2"/>
    <x v="2"/>
    <x v="2"/>
  </r>
  <r>
    <s v="تامر"/>
    <x v="0"/>
    <x v="0"/>
    <x v="8"/>
    <s v="العين السخنه"/>
    <x v="0"/>
    <x v="1"/>
    <s v="٢ ميكانزم"/>
    <m/>
    <m/>
    <s v="أسود"/>
    <m/>
    <x v="74"/>
    <x v="0"/>
    <s v="مسبق الدفع"/>
    <x v="0"/>
    <x v="1"/>
    <x v="7"/>
    <x v="49"/>
    <x v="51"/>
    <x v="2"/>
    <x v="2"/>
    <x v="2"/>
  </r>
  <r>
    <s v="هناء اسامه"/>
    <x v="0"/>
    <x v="1"/>
    <x v="5"/>
    <s v="القطاميه"/>
    <x v="0"/>
    <x v="0"/>
    <s v="دورين "/>
    <s v="نوفال"/>
    <n v="80"/>
    <s v="أبيض"/>
    <m/>
    <x v="58"/>
    <x v="0"/>
    <s v="مسبق الدفع"/>
    <x v="0"/>
    <x v="1"/>
    <x v="2"/>
    <x v="50"/>
    <x v="32"/>
    <x v="2"/>
    <x v="2"/>
    <x v="2"/>
  </r>
  <r>
    <s v="اوسكار راتن"/>
    <x v="1"/>
    <x v="2"/>
    <x v="7"/>
    <s v="المخزن ابو الغيط "/>
    <x v="4"/>
    <x v="0"/>
    <s v="دورين "/>
    <s v="كيفنج "/>
    <n v="90"/>
    <s v="أزرق"/>
    <m/>
    <x v="75"/>
    <x v="2"/>
    <s v="حساب شركه"/>
    <x v="1"/>
    <x v="33"/>
    <x v="1"/>
    <x v="51"/>
    <x v="52"/>
    <x v="38"/>
    <x v="3"/>
    <x v="0"/>
  </r>
  <r>
    <s v="محمد عادل "/>
    <x v="0"/>
    <x v="0"/>
    <x v="7"/>
    <s v="العبور"/>
    <x v="0"/>
    <x v="0"/>
    <s v="منطبق"/>
    <m/>
    <m/>
    <s v="أسود"/>
    <m/>
    <x v="72"/>
    <x v="1"/>
    <n v="6211"/>
    <x v="2"/>
    <x v="10"/>
    <x v="9"/>
    <x v="52"/>
    <x v="52"/>
    <x v="41"/>
    <x v="3"/>
    <x v="0"/>
  </r>
  <r>
    <s v="مريم عنان"/>
    <x v="0"/>
    <x v="1"/>
    <x v="5"/>
    <s v="اب تاون كايرو التجمع "/>
    <x v="1"/>
    <x v="0"/>
    <s v="دورين"/>
    <s v="كينج"/>
    <m/>
    <s v="أسود"/>
    <m/>
    <x v="76"/>
    <x v="1"/>
    <n v="7707"/>
    <x v="1"/>
    <x v="36"/>
    <x v="20"/>
    <x v="53"/>
    <x v="53"/>
    <x v="42"/>
    <x v="3"/>
    <x v="0"/>
  </r>
  <r>
    <s v="هبه عطيه "/>
    <x v="0"/>
    <x v="1"/>
    <x v="5"/>
    <s v="القاهره الجديده"/>
    <x v="0"/>
    <x v="1"/>
    <s v="دوران"/>
    <s v="ميكانزم"/>
    <m/>
    <s v="أسود"/>
    <m/>
    <x v="14"/>
    <x v="1"/>
    <n v="11257"/>
    <x v="1"/>
    <x v="7"/>
    <x v="7"/>
    <x v="54"/>
    <x v="54"/>
    <x v="41"/>
    <x v="3"/>
    <x v="0"/>
  </r>
  <r>
    <s v="حمدى ذكرى"/>
    <x v="0"/>
    <x v="0"/>
    <x v="0"/>
    <s v="٦ اكتوبر الجيزه"/>
    <x v="0"/>
    <x v="0"/>
    <s v="دورين"/>
    <s v="نوفال"/>
    <n v="80"/>
    <s v="أسود"/>
    <m/>
    <x v="31"/>
    <x v="1"/>
    <n v="13231"/>
    <x v="2"/>
    <x v="14"/>
    <x v="26"/>
    <x v="54"/>
    <x v="55"/>
    <x v="43"/>
    <x v="3"/>
    <x v="0"/>
  </r>
  <r>
    <s v="شيك هومز"/>
    <x v="1"/>
    <x v="2"/>
    <x v="6"/>
    <s v="مخزن شيك هومز"/>
    <x v="1"/>
    <x v="3"/>
    <s v="4×1"/>
    <s v="ارينا"/>
    <m/>
    <s v="أسود"/>
    <m/>
    <x v="77"/>
    <x v="2"/>
    <s v="حساب شركه"/>
    <x v="1"/>
    <x v="10"/>
    <x v="20"/>
    <x v="55"/>
    <x v="56"/>
    <x v="43"/>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4250A7-2C77-47C4-B05D-A972BE37E13D}"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BE6:BF14"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79">
        <item x="20"/>
        <item x="60"/>
        <item x="45"/>
        <item x="56"/>
        <item x="57"/>
        <item x="39"/>
        <item x="68"/>
        <item x="50"/>
        <item x="75"/>
        <item x="65"/>
        <item x="69"/>
        <item x="61"/>
        <item x="27"/>
        <item x="9"/>
        <item x="13"/>
        <item x="40"/>
        <item x="64"/>
        <item x="6"/>
        <item x="11"/>
        <item x="66"/>
        <item x="43"/>
        <item x="24"/>
        <item x="12"/>
        <item x="15"/>
        <item x="22"/>
        <item x="71"/>
        <item x="44"/>
        <item x="52"/>
        <item x="2"/>
        <item x="77"/>
        <item x="17"/>
        <item x="48"/>
        <item x="41"/>
        <item x="74"/>
        <item x="19"/>
        <item x="16"/>
        <item x="21"/>
        <item x="23"/>
        <item x="25"/>
        <item x="46"/>
        <item x="54"/>
        <item x="0"/>
        <item x="72"/>
        <item x="37"/>
        <item x="76"/>
        <item x="10"/>
        <item x="70"/>
        <item x="18"/>
        <item x="30"/>
        <item x="14"/>
        <item x="62"/>
        <item x="1"/>
        <item x="55"/>
        <item x="35"/>
        <item x="28"/>
        <item x="5"/>
        <item x="58"/>
        <item x="38"/>
        <item x="51"/>
        <item x="3"/>
        <item x="49"/>
        <item x="63"/>
        <item x="26"/>
        <item x="31"/>
        <item x="67"/>
        <item x="32"/>
        <item x="4"/>
        <item x="73"/>
        <item x="42"/>
        <item x="53"/>
        <item x="59"/>
        <item x="8"/>
        <item x="29"/>
        <item x="34"/>
        <item x="36"/>
        <item x="33"/>
        <item x="7"/>
        <item x="47"/>
        <item t="default"/>
      </items>
    </pivotField>
    <pivotField showAll="0" sortType="descending"/>
    <pivotField showAll="0"/>
    <pivotField showAll="0"/>
    <pivotField showAll="0">
      <items count="38">
        <item x="1"/>
        <item x="34"/>
        <item x="2"/>
        <item x="36"/>
        <item x="27"/>
        <item x="31"/>
        <item x="7"/>
        <item x="26"/>
        <item x="33"/>
        <item x="13"/>
        <item x="32"/>
        <item x="9"/>
        <item x="11"/>
        <item x="0"/>
        <item x="10"/>
        <item x="4"/>
        <item x="14"/>
        <item x="15"/>
        <item x="12"/>
        <item x="8"/>
        <item x="3"/>
        <item x="6"/>
        <item x="25"/>
        <item x="22"/>
        <item x="35"/>
        <item x="29"/>
        <item x="30"/>
        <item x="5"/>
        <item x="20"/>
        <item x="18"/>
        <item x="16"/>
        <item x="23"/>
        <item x="21"/>
        <item x="17"/>
        <item x="19"/>
        <item x="28"/>
        <item x="24"/>
        <item t="default"/>
      </items>
    </pivotField>
    <pivotField numFmtId="1"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pivotField showAll="0">
      <items count="6">
        <item x="0"/>
        <item x="1"/>
        <item m="1" x="4"/>
        <item x="2"/>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3"/>
    <field x="18"/>
  </rowFields>
  <rowItems count="8">
    <i>
      <x/>
    </i>
    <i>
      <x v="7"/>
    </i>
    <i>
      <x v="8"/>
    </i>
    <i>
      <x v="9"/>
    </i>
    <i>
      <x v="10"/>
    </i>
    <i>
      <x v="11"/>
    </i>
    <i>
      <x v="12"/>
    </i>
    <i t="grand">
      <x/>
    </i>
  </rowItems>
  <colItems count="1">
    <i/>
  </colItems>
  <dataFields count="1">
    <dataField name="Sum of سعر البيع " fld="12" baseField="0" baseItem="0"/>
  </dataFields>
  <formats count="1">
    <format dxfId="70">
      <pivotArea outline="0" collapsedLevelsAreSubtotals="1" fieldPosition="0"/>
    </format>
  </formats>
  <chartFormats count="5">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23" count="1" selected="0">
            <x v="10"/>
          </reference>
        </references>
      </pivotArea>
    </chartFormat>
    <chartFormat chart="21" format="4">
      <pivotArea type="data" outline="0" fieldPosition="0">
        <references count="2">
          <reference field="4294967294" count="1" selected="0">
            <x v="0"/>
          </reference>
          <reference field="23" count="1" selected="0">
            <x v="8"/>
          </reference>
        </references>
      </pivotArea>
    </chartFormat>
    <chartFormat chart="21" format="5">
      <pivotArea type="data" outline="0" fieldPosition="0">
        <references count="2">
          <reference field="4294967294" count="1" selected="0">
            <x v="0"/>
          </reference>
          <reference field="2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F2A28F-4563-4A3B-B6C6-FC95B9697E01}"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BA6:BA7"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pivotField showAll="0"/>
    <pivotField showAll="0"/>
    <pivotField dataField="1" showAll="0">
      <items count="38">
        <item x="1"/>
        <item x="34"/>
        <item x="2"/>
        <item x="36"/>
        <item x="27"/>
        <item x="31"/>
        <item x="7"/>
        <item x="26"/>
        <item x="33"/>
        <item x="13"/>
        <item x="32"/>
        <item x="9"/>
        <item x="11"/>
        <item x="0"/>
        <item x="10"/>
        <item x="4"/>
        <item x="14"/>
        <item x="15"/>
        <item x="12"/>
        <item x="8"/>
        <item x="3"/>
        <item x="6"/>
        <item x="25"/>
        <item x="22"/>
        <item x="35"/>
        <item x="29"/>
        <item x="30"/>
        <item x="5"/>
        <item x="20"/>
        <item x="18"/>
        <item x="16"/>
        <item x="23"/>
        <item x="21"/>
        <item x="17"/>
        <item x="19"/>
        <item x="28"/>
        <item x="24"/>
        <item t="default"/>
      </items>
    </pivotField>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pivotField showAll="0">
      <items count="6">
        <item x="0"/>
        <item x="1"/>
        <item m="1" x="4"/>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مدة التسليم (الفعلية)" fld="16" subtotal="average" baseField="0" baseItem="0"/>
  </dataFields>
  <formats count="1">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05C3A8-2353-417B-9A9A-6EE8C4D6FFAD}" name="PivotTable1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N5:AN6"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sortType="descending"/>
    <pivotField showAll="0"/>
    <pivotField showAll="0"/>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6">
        <item x="0"/>
        <item x="1"/>
        <item m="1" x="4"/>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سعر البيع " fld="12" baseField="0" baseItem="0"/>
  </dataFields>
  <formats count="1">
    <format dxfId="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25BFBC-D03B-4D9E-9E8F-CECA6307FB7B}"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F5:G9" firstHeaderRow="1" firstDataRow="1" firstDataCol="1"/>
  <pivotFields count="24">
    <pivotField showAll="0"/>
    <pivotField showAll="0"/>
    <pivotField axis="axisRow" dataField="1"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6">
        <item x="0"/>
        <item x="1"/>
        <item m="1" x="4"/>
        <item x="2"/>
        <item x="3"/>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v="1"/>
    </i>
    <i>
      <x v="2"/>
    </i>
    <i>
      <x/>
    </i>
    <i t="grand">
      <x/>
    </i>
  </rowItems>
  <colItems count="1">
    <i/>
  </colItems>
  <dataFields count="1">
    <dataField name="Count of نوع الافراد" fld="2" subtotal="count" showDataAs="percentOfTotal" baseField="2" baseItem="0" numFmtId="1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1"/>
          </reference>
        </references>
      </pivotArea>
    </chartFormat>
    <chartFormat chart="5" format="2">
      <pivotArea type="data" outline="0" fieldPosition="0">
        <references count="2">
          <reference field="4294967294" count="1" selected="0">
            <x v="0"/>
          </reference>
          <reference field="2" count="1" selected="0">
            <x v="2"/>
          </reference>
        </references>
      </pivotArea>
    </chartFormat>
    <chartFormat chart="5" format="3">
      <pivotArea type="data" outline="0" fieldPosition="0">
        <references count="2">
          <reference field="4294967294" count="1" selected="0">
            <x v="0"/>
          </reference>
          <reference field="2"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0BBD28-6498-4DBE-9C24-8B51F4BCE3E7}" name="PivotTable1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E5:AF25" firstHeaderRow="1" firstDataRow="1" firstDataCol="1"/>
  <pivotFields count="24">
    <pivotField showAll="0"/>
    <pivotField showAll="0"/>
    <pivotField showAll="0"/>
    <pivotField showAll="0"/>
    <pivotField showAll="0"/>
    <pivotField axis="axisRow" dataField="1" showAll="0" sortType="descending">
      <items count="12">
        <item x="5"/>
        <item x="4"/>
        <item x="3"/>
        <item m="1" x="8"/>
        <item x="1"/>
        <item m="1" x="10"/>
        <item x="2"/>
        <item x="7"/>
        <item x="6"/>
        <item m="1" x="9"/>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sortType="descending">
      <items count="5">
        <item x="0"/>
        <item x="1"/>
        <item x="3"/>
        <item x="2"/>
        <item t="default"/>
      </items>
    </pivotField>
    <pivotField showAll="0"/>
    <pivotField showAll="0"/>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6">
        <item x="0"/>
        <item x="1"/>
        <item m="1" x="4"/>
        <item x="2"/>
        <item x="3"/>
        <item t="default"/>
      </items>
    </pivotField>
    <pivotField showAll="0">
      <items count="15">
        <item x="0"/>
        <item x="1"/>
        <item x="2"/>
        <item x="3"/>
        <item x="4"/>
        <item x="5"/>
        <item x="6"/>
        <item x="7"/>
        <item x="8"/>
        <item x="9"/>
        <item x="10"/>
        <item x="11"/>
        <item x="12"/>
        <item x="13"/>
        <item t="default"/>
      </items>
    </pivotField>
  </pivotFields>
  <rowFields count="2">
    <field x="13"/>
    <field x="5"/>
  </rowFields>
  <rowItems count="20">
    <i>
      <x/>
    </i>
    <i r="1">
      <x v="10"/>
    </i>
    <i r="1">
      <x v="4"/>
    </i>
    <i r="1">
      <x v="1"/>
    </i>
    <i r="1">
      <x v="8"/>
    </i>
    <i r="1">
      <x v="7"/>
    </i>
    <i>
      <x v="1"/>
    </i>
    <i r="1">
      <x v="10"/>
    </i>
    <i r="1">
      <x v="4"/>
    </i>
    <i r="1">
      <x v="2"/>
    </i>
    <i r="1">
      <x v="6"/>
    </i>
    <i r="1">
      <x v="1"/>
    </i>
    <i>
      <x v="2"/>
    </i>
    <i r="1">
      <x/>
    </i>
    <i>
      <x v="3"/>
    </i>
    <i r="1">
      <x v="1"/>
    </i>
    <i r="1">
      <x v="2"/>
    </i>
    <i r="1">
      <x v="8"/>
    </i>
    <i r="1">
      <x v="4"/>
    </i>
    <i t="grand">
      <x/>
    </i>
  </rowItems>
  <colItems count="1">
    <i/>
  </colItems>
  <dataFields count="1">
    <dataField name="Count of منصة البيع " fld="5" subtotal="count" baseField="0" baseItem="0"/>
  </dataFields>
  <formats count="1">
    <format dxfId="73">
      <pivotArea outline="0" collapsedLevelsAreSubtotals="1" fieldPosition="0"/>
    </format>
  </format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068431-6A71-4D32-953D-85FECBF3867E}"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B8" firstHeaderRow="1" firstDataRow="1" firstDataCol="1"/>
  <pivotFields count="24">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6">
        <item x="0"/>
        <item x="1"/>
        <item m="1" x="4"/>
        <item x="2"/>
        <item x="3"/>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i>
    <i>
      <x v="1"/>
    </i>
    <i t="grand">
      <x/>
    </i>
  </rowItems>
  <colItems count="1">
    <i/>
  </colItems>
  <dataFields count="1">
    <dataField name="Count of نوع العميل " fld="1" subtotal="count" showDataAs="percentOfTotal" baseField="1" baseItem="0" numFmtId="1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CA7BBD-0D08-4578-8D11-CDE493A8D203}"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Q6:AU14" firstHeaderRow="1" firstDataRow="2"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2"/>
        <item x="1"/>
        <item t="default"/>
      </items>
    </pivotField>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7">
        <item x="5"/>
        <item x="4"/>
        <item x="0"/>
        <item x="3"/>
        <item x="2"/>
        <item x="1"/>
        <item t="default"/>
      </items>
    </pivotField>
    <pivotField showAll="0">
      <items count="6">
        <item x="0"/>
        <item x="1"/>
        <item m="1" x="4"/>
        <item x="2"/>
        <item x="3"/>
        <item t="default"/>
      </items>
    </pivotField>
    <pivotField showAll="0">
      <items count="15">
        <item x="0"/>
        <item x="1"/>
        <item x="2"/>
        <item x="3"/>
        <item x="4"/>
        <item x="5"/>
        <item x="6"/>
        <item x="7"/>
        <item x="8"/>
        <item x="9"/>
        <item x="10"/>
        <item x="11"/>
        <item x="12"/>
        <item x="13"/>
        <item t="default"/>
      </items>
    </pivotField>
  </pivotFields>
  <rowFields count="1">
    <field x="21"/>
  </rowFields>
  <rowItems count="7">
    <i>
      <x/>
    </i>
    <i>
      <x v="1"/>
    </i>
    <i>
      <x v="2"/>
    </i>
    <i>
      <x v="3"/>
    </i>
    <i>
      <x v="4"/>
    </i>
    <i>
      <x v="5"/>
    </i>
    <i t="grand">
      <x/>
    </i>
  </rowItems>
  <colFields count="1">
    <field x="15"/>
  </colFields>
  <colItems count="4">
    <i>
      <x/>
    </i>
    <i>
      <x v="1"/>
    </i>
    <i>
      <x v="2"/>
    </i>
    <i t="grand">
      <x/>
    </i>
  </colItems>
  <dataFields count="1">
    <dataField name="Count of كفاءة التسليم" fld="15" subtotal="count" showDataAs="percentOfRow" baseField="20" baseItem="0" numFmtId="9"/>
  </dataFields>
  <formats count="1">
    <format dxfId="74">
      <pivotArea outline="0" collapsedLevelsAreSubtotals="1" fieldPosition="0"/>
    </format>
  </formats>
  <chartFormats count="5">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pivotArea type="data" outline="0" fieldPosition="0">
        <references count="3">
          <reference field="4294967294" count="1" selected="0">
            <x v="0"/>
          </reference>
          <reference field="15" count="1" selected="0">
            <x v="1"/>
          </reference>
          <reference field="21" count="1" selected="0">
            <x v="3"/>
          </reference>
        </references>
      </pivotArea>
    </chartFormat>
    <chartFormat chart="0" format="4">
      <pivotArea type="data" outline="0" fieldPosition="0">
        <references count="3">
          <reference field="4294967294" count="1" selected="0">
            <x v="0"/>
          </reference>
          <reference field="15" count="1" selected="0">
            <x v="1"/>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E94112-0A49-4B60-ACB5-4F114AF559D1}"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X5:Y13" firstHeaderRow="1" firstDataRow="1" firstDataCol="1"/>
  <pivotFields count="24">
    <pivotField showAll="0"/>
    <pivotField showAll="0"/>
    <pivotField showAll="0"/>
    <pivotField showAll="0"/>
    <pivotField showAll="0"/>
    <pivotField showAll="0"/>
    <pivotField axis="axisRow" showAll="0" sortType="descending">
      <items count="12">
        <item x="1"/>
        <item m="1" x="9"/>
        <item x="2"/>
        <item x="0"/>
        <item m="1" x="10"/>
        <item x="6"/>
        <item x="5"/>
        <item x="4"/>
        <item m="1" x="8"/>
        <item m="1" x="7"/>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6">
        <item x="0"/>
        <item x="1"/>
        <item m="1" x="4"/>
        <item x="2"/>
        <item x="3"/>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v="3"/>
    </i>
    <i>
      <x v="10"/>
    </i>
    <i>
      <x/>
    </i>
    <i>
      <x v="2"/>
    </i>
    <i>
      <x v="6"/>
    </i>
    <i>
      <x v="7"/>
    </i>
    <i>
      <x v="5"/>
    </i>
    <i t="grand">
      <x/>
    </i>
  </rowItems>
  <colItems count="1">
    <i/>
  </colItems>
  <dataFields count="1">
    <dataField name="Sum of سعر البيع " fld="12" baseField="0" baseItem="0" numFmtId="164"/>
  </dataFields>
  <formats count="1">
    <format dxfId="75">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682DA2-4BB9-439D-A6FF-46A9789ABAAF}"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Q5:S14" firstHeaderRow="0" firstDataRow="1" firstDataCol="1"/>
  <pivotFields count="24">
    <pivotField showAll="0"/>
    <pivotField showAll="0"/>
    <pivotField dataField="1" showAll="0"/>
    <pivotField showAll="0"/>
    <pivotField showAll="0"/>
    <pivotField axis="axisRow" showAll="0" sortType="descending">
      <items count="12">
        <item x="5"/>
        <item x="4"/>
        <item x="3"/>
        <item m="1" x="8"/>
        <item x="1"/>
        <item m="1" x="10"/>
        <item x="2"/>
        <item x="7"/>
        <item x="6"/>
        <item m="1" x="9"/>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6">
        <item x="0"/>
        <item x="1"/>
        <item m="1" x="4"/>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9">
    <i>
      <x v="10"/>
    </i>
    <i>
      <x v="4"/>
    </i>
    <i>
      <x v="2"/>
    </i>
    <i>
      <x v="1"/>
    </i>
    <i>
      <x v="6"/>
    </i>
    <i>
      <x/>
    </i>
    <i>
      <x v="8"/>
    </i>
    <i>
      <x v="7"/>
    </i>
    <i t="grand">
      <x/>
    </i>
  </rowItems>
  <colFields count="1">
    <field x="-2"/>
  </colFields>
  <colItems count="2">
    <i>
      <x/>
    </i>
    <i i="1">
      <x v="1"/>
    </i>
  </colItems>
  <dataFields count="2">
    <dataField name="Count of نوع الافراد" fld="2" subtotal="count" baseField="5" baseItem="1"/>
    <dataField name="Sum of سعر البيع " fld="12" baseField="0" baseItem="0" numFmtId="164"/>
  </dataFields>
  <formats count="1">
    <format dxfId="76">
      <pivotArea outline="0" collapsedLevelsAreSubtotals="1" fieldPosition="0">
        <references count="1">
          <reference field="4294967294" count="1" selected="0">
            <x v="1"/>
          </reference>
        </references>
      </pivotArea>
    </format>
  </formats>
  <chartFormats count="13">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1"/>
          </reference>
          <reference field="5" count="1" selected="0">
            <x v="10"/>
          </reference>
        </references>
      </pivotArea>
    </chartFormat>
    <chartFormat chart="8" format="3">
      <pivotArea type="data" outline="0" fieldPosition="0">
        <references count="2">
          <reference field="4294967294" count="1" selected="0">
            <x v="1"/>
          </reference>
          <reference field="5" count="1" selected="0">
            <x v="6"/>
          </reference>
        </references>
      </pivotArea>
    </chartFormat>
    <chartFormat chart="8" format="4">
      <pivotArea type="data" outline="0" fieldPosition="0">
        <references count="2">
          <reference field="4294967294" count="1" selected="0">
            <x v="1"/>
          </reference>
          <reference field="5" count="1" selected="0">
            <x v="0"/>
          </reference>
        </references>
      </pivotArea>
    </chartFormat>
    <chartFormat chart="8" format="5">
      <pivotArea type="data" outline="0" fieldPosition="0">
        <references count="2">
          <reference field="4294967294" count="1" selected="0">
            <x v="1"/>
          </reference>
          <reference field="5" count="1" selected="0">
            <x v="8"/>
          </reference>
        </references>
      </pivotArea>
    </chartFormat>
    <chartFormat chart="8" format="6">
      <pivotArea type="data" outline="0" fieldPosition="0">
        <references count="2">
          <reference field="4294967294" count="1" selected="0">
            <x v="1"/>
          </reference>
          <reference field="5" count="1" selected="0">
            <x v="7"/>
          </reference>
        </references>
      </pivotArea>
    </chartFormat>
    <chartFormat chart="10" format="13" series="1">
      <pivotArea type="data" outline="0" fieldPosition="0">
        <references count="1">
          <reference field="4294967294" count="1" selected="0">
            <x v="0"/>
          </reference>
        </references>
      </pivotArea>
    </chartFormat>
    <chartFormat chart="10" format="14" series="1">
      <pivotArea type="data" outline="0" fieldPosition="0">
        <references count="1">
          <reference field="4294967294" count="1" selected="0">
            <x v="1"/>
          </reference>
        </references>
      </pivotArea>
    </chartFormat>
    <chartFormat chart="10" format="15">
      <pivotArea type="data" outline="0" fieldPosition="0">
        <references count="2">
          <reference field="4294967294" count="1" selected="0">
            <x v="1"/>
          </reference>
          <reference field="5" count="1" selected="0">
            <x v="6"/>
          </reference>
        </references>
      </pivotArea>
    </chartFormat>
    <chartFormat chart="10" format="16">
      <pivotArea type="data" outline="0" fieldPosition="0">
        <references count="2">
          <reference field="4294967294" count="1" selected="0">
            <x v="1"/>
          </reference>
          <reference field="5" count="1" selected="0">
            <x v="0"/>
          </reference>
        </references>
      </pivotArea>
    </chartFormat>
    <chartFormat chart="10" format="17">
      <pivotArea type="data" outline="0" fieldPosition="0">
        <references count="2">
          <reference field="4294967294" count="1" selected="0">
            <x v="1"/>
          </reference>
          <reference field="5" count="1" selected="0">
            <x v="8"/>
          </reference>
        </references>
      </pivotArea>
    </chartFormat>
    <chartFormat chart="10" format="18">
      <pivotArea type="data" outline="0" fieldPosition="0">
        <references count="2">
          <reference field="4294967294" count="1" selected="0">
            <x v="1"/>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8B11AA-12A2-4B55-AC6D-B422B76191C5}"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K5:M16" firstHeaderRow="0" firstDataRow="1" firstDataCol="1"/>
  <pivotFields count="24">
    <pivotField showAll="0"/>
    <pivotField showAll="0"/>
    <pivotField showAll="0"/>
    <pivotField axis="axisRow" dataField="1" showAll="0" sortType="descending">
      <items count="11">
        <item x="9"/>
        <item x="1"/>
        <item x="3"/>
        <item x="0"/>
        <item x="8"/>
        <item x="5"/>
        <item x="7"/>
        <item x="6"/>
        <item x="2"/>
        <item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6">
        <item x="0"/>
        <item x="1"/>
        <item m="1" x="4"/>
        <item x="2"/>
        <item x="3"/>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v="5"/>
    </i>
    <i>
      <x v="3"/>
    </i>
    <i>
      <x v="7"/>
    </i>
    <i>
      <x v="9"/>
    </i>
    <i>
      <x v="6"/>
    </i>
    <i>
      <x v="4"/>
    </i>
    <i>
      <x v="1"/>
    </i>
    <i>
      <x v="2"/>
    </i>
    <i>
      <x v="8"/>
    </i>
    <i>
      <x/>
    </i>
    <i t="grand">
      <x/>
    </i>
  </rowItems>
  <colFields count="1">
    <field x="-2"/>
  </colFields>
  <colItems count="2">
    <i>
      <x/>
    </i>
    <i i="1">
      <x v="1"/>
    </i>
  </colItems>
  <dataFields count="2">
    <dataField name="Count of المحافظة" fld="3" subtotal="count" baseField="0" baseItem="0"/>
    <dataField name="Sum of سعر البيع " fld="12" baseField="0" baseItem="0" numFmtId="164"/>
  </dataFields>
  <formats count="1">
    <format dxfId="77">
      <pivotArea outline="0" collapsedLevelsAreSubtotals="1" fieldPosition="0">
        <references count="1">
          <reference field="4294967294" count="1" selected="0">
            <x v="1"/>
          </reference>
        </references>
      </pivotArea>
    </format>
  </formats>
  <chartFormats count="7">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3" count="1" selected="0">
            <x v="0"/>
          </reference>
        </references>
      </pivotArea>
    </chartFormat>
    <chartFormat chart="9" format="7">
      <pivotArea type="data" outline="0" fieldPosition="0">
        <references count="2">
          <reference field="4294967294" count="1" selected="0">
            <x v="1"/>
          </reference>
          <reference field="3" count="1" selected="0">
            <x v="8"/>
          </reference>
        </references>
      </pivotArea>
    </chartFormat>
    <chartFormat chart="9" format="8">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1E2773-90A8-400D-B3CE-8293766929F5}" name="PivotTable1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W6:AX11"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pivotField showAll="0"/>
    <pivotField showAll="0"/>
    <pivotField showAll="0">
      <items count="38">
        <item x="1"/>
        <item x="34"/>
        <item x="2"/>
        <item x="36"/>
        <item x="27"/>
        <item x="31"/>
        <item x="7"/>
        <item x="26"/>
        <item x="33"/>
        <item x="13"/>
        <item x="32"/>
        <item x="9"/>
        <item x="11"/>
        <item x="0"/>
        <item x="10"/>
        <item x="4"/>
        <item x="14"/>
        <item x="15"/>
        <item x="12"/>
        <item x="8"/>
        <item x="3"/>
        <item x="6"/>
        <item x="25"/>
        <item x="22"/>
        <item x="35"/>
        <item x="29"/>
        <item x="30"/>
        <item x="5"/>
        <item x="20"/>
        <item x="18"/>
        <item x="16"/>
        <item x="23"/>
        <item x="21"/>
        <item x="17"/>
        <item x="19"/>
        <item x="28"/>
        <item x="24"/>
        <item t="default"/>
      </items>
    </pivotField>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pivotField axis="axisRow" dataField="1" showAll="0">
      <items count="6">
        <item x="0"/>
        <item x="1"/>
        <item m="1" x="4"/>
        <item x="2"/>
        <item x="3"/>
        <item t="default"/>
      </items>
    </pivotField>
    <pivotField showAll="0">
      <items count="15">
        <item x="0"/>
        <item x="1"/>
        <item x="2"/>
        <item x="3"/>
        <item x="4"/>
        <item x="5"/>
        <item x="6"/>
        <item x="7"/>
        <item x="8"/>
        <item x="9"/>
        <item x="10"/>
        <item x="11"/>
        <item x="12"/>
        <item x="13"/>
        <item t="default"/>
      </items>
    </pivotField>
  </pivotFields>
  <rowFields count="1">
    <field x="22"/>
  </rowFields>
  <rowItems count="5">
    <i>
      <x/>
    </i>
    <i>
      <x v="1"/>
    </i>
    <i>
      <x v="3"/>
    </i>
    <i>
      <x v="4"/>
    </i>
    <i t="grand">
      <x/>
    </i>
  </rowItems>
  <colItems count="1">
    <i/>
  </colItems>
  <dataFields count="1">
    <dataField name="Count of الحالة" fld="22" subtotal="count" baseField="0" baseItem="0"/>
  </dataFields>
  <formats count="1">
    <format dxfId="78">
      <pivotArea outline="0" collapsedLevelsAreSubtotals="1" fieldPosition="0"/>
    </format>
  </formats>
  <chartFormats count="7">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2" count="1" selected="0">
            <x v="0"/>
          </reference>
        </references>
      </pivotArea>
    </chartFormat>
    <chartFormat chart="13" format="4">
      <pivotArea type="data" outline="0" fieldPosition="0">
        <references count="2">
          <reference field="4294967294" count="1" selected="0">
            <x v="0"/>
          </reference>
          <reference field="22" count="1" selected="0">
            <x v="3"/>
          </reference>
        </references>
      </pivotArea>
    </chartFormat>
    <chartFormat chart="13" format="5">
      <pivotArea type="data" outline="0" fieldPosition="0">
        <references count="2">
          <reference field="4294967294" count="1" selected="0">
            <x v="0"/>
          </reference>
          <reference field="22" count="1" selected="0">
            <x v="1"/>
          </reference>
        </references>
      </pivotArea>
    </chartFormat>
    <chartFormat chart="13" format="6">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9D7D20-E993-4E33-A55A-B0CC73CD59C1}" autoFormatId="16" applyNumberFormats="0" applyBorderFormats="0" applyFontFormats="0" applyPatternFormats="0" applyAlignmentFormats="0" applyWidthHeightFormats="0">
  <queryTableRefresh nextId="3">
    <queryTableFields count="2">
      <queryTableField id="1" name="أسم العميل" tableColumnId="1"/>
      <queryTableField id="2" name="نوع العميل"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AB6717F-52A9-43C5-83D5-64AC66A840A6}" autoFormatId="16" applyNumberFormats="0" applyBorderFormats="0" applyFontFormats="0" applyPatternFormats="0" applyAlignmentFormats="0" applyWidthHeightFormats="0">
  <queryTableRefresh nextId="6">
    <queryTableFields count="5">
      <queryTableField id="1" name="المنتج" tableColumnId="1"/>
      <queryTableField id="2" name="الصنف" tableColumnId="2"/>
      <queryTableField id="3" name="لون الصنف" tableColumnId="3"/>
      <queryTableField id="4" name="الكمية" tableColumnId="4"/>
      <queryTableField id="5" name="المقاس"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A414EB33-2FF4-4959-91FD-2014A6CFB2A0}" autoFormatId="16" applyNumberFormats="0" applyBorderFormats="0" applyFontFormats="0" applyPatternFormats="0" applyAlignmentFormats="0" applyWidthHeightFormats="0">
  <queryTableRefresh nextId="3">
    <queryTableFields count="2">
      <queryTableField id="1" name="العنوان" tableColumnId="1"/>
      <queryTableField id="2" name="المحافظة"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9DA3C42B-6084-45A6-9444-E585A6F926D4}" autoFormatId="16" applyNumberFormats="0" applyBorderFormats="0" applyFontFormats="0" applyPatternFormats="0" applyAlignmentFormats="0" applyWidthHeightFormats="0">
  <queryTableRefresh nextId="3">
    <queryTableFields count="2">
      <queryTableField id="1" name="أسم العميل" tableColumnId="1"/>
      <queryTableField id="2" name="انواع الافراد"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يعاد_الطلب" xr10:uid="{F920BB8C-7CA7-42A9-8B8A-E9D016183CAD}" sourceName="ميعاد الطلب">
  <pivotTables>
    <pivotTable tabId="9" name="PivotTable7"/>
    <pivotTable tabId="9" name="PivotTable11"/>
    <pivotTable tabId="9" name="PivotTable13"/>
    <pivotTable tabId="9" name="PivotTable14"/>
    <pivotTable tabId="9" name="PivotTable17"/>
    <pivotTable tabId="9" name="PivotTable2"/>
    <pivotTable tabId="9" name="PivotTable3"/>
    <pivotTable tabId="9" name="PivotTable4"/>
    <pivotTable tabId="9" name="PivotTable6"/>
    <pivotTable tabId="9" name="PivotTable8"/>
    <pivotTable tabId="9" name="PivotTable9"/>
  </pivotTables>
  <data>
    <tabular pivotCacheId="700056689">
      <items count="368">
        <i x="0" s="1"/>
        <i x="315" s="1"/>
        <i x="284" s="1"/>
        <i x="316" s="1"/>
        <i x="347" s="1"/>
        <i x="317" s="1"/>
        <i x="256" s="1"/>
        <i x="287" s="1"/>
        <i x="257" s="1"/>
        <i x="227" s="1"/>
        <i x="349" s="1"/>
        <i x="319" s="1"/>
        <i x="258" s="1"/>
        <i x="259" s="1"/>
        <i x="229" s="1"/>
        <i x="290" s="1"/>
        <i x="260" s="1"/>
        <i x="230" s="1"/>
        <i x="322" s="1"/>
        <i x="291" s="1"/>
        <i x="232" s="1"/>
        <i x="324" s="1"/>
        <i x="336" s="1"/>
        <i x="275" s="1"/>
        <i x="245" s="1"/>
        <i x="325" s="1"/>
        <i x="294" s="1"/>
        <i x="295" s="1"/>
        <i x="265" s="1"/>
        <i x="327" s="1"/>
        <i x="296" s="1"/>
        <i x="267" s="1"/>
        <i x="329" s="1"/>
        <i x="298" s="1"/>
        <i x="238" s="1"/>
        <i x="300" s="1"/>
        <i x="270" s="1"/>
        <i x="209" s="1"/>
        <i x="332" s="1"/>
        <i x="210" s="1"/>
        <i x="302" s="1"/>
        <i x="334" s="1"/>
        <i x="273" s="1"/>
        <i x="337" s="1"/>
        <i x="335" s="1"/>
        <i x="277" s="1"/>
        <i x="247" s="1"/>
        <i x="339" s="1"/>
        <i x="248" s="1"/>
        <i x="249" s="1"/>
        <i x="250" s="1"/>
        <i x="281" s="1"/>
        <i x="313" s="1"/>
        <i x="282" s="1"/>
        <i x="344" s="1"/>
        <i x="253" s="1"/>
        <i x="367" s="1" nd="1"/>
        <i x="101" s="1" nd="1"/>
        <i x="223" s="1" nd="1"/>
        <i x="345" s="1" nd="1"/>
        <i x="41" s="1" nd="1"/>
        <i x="10" s="1" nd="1"/>
        <i x="192" s="1" nd="1"/>
        <i x="162" s="1" nd="1"/>
        <i x="70" s="1" nd="1"/>
        <i x="131" s="1" nd="1"/>
        <i x="254" s="1" nd="1"/>
        <i x="102" s="1" nd="1"/>
        <i x="224" s="1" nd="1"/>
        <i x="346" s="1" nd="1"/>
        <i x="42" s="1" nd="1"/>
        <i x="11" s="1" nd="1"/>
        <i x="193" s="1" nd="1"/>
        <i x="163" s="1" nd="1"/>
        <i x="71" s="1" nd="1"/>
        <i x="132" s="1" nd="1"/>
        <i x="285" s="1" nd="1"/>
        <i x="255" s="1" nd="1"/>
        <i x="103" s="1" nd="1"/>
        <i x="225" s="1" nd="1"/>
        <i x="43" s="1" nd="1"/>
        <i x="12" s="1" nd="1"/>
        <i x="194" s="1" nd="1"/>
        <i x="164" s="1" nd="1"/>
        <i x="72" s="1" nd="1"/>
        <i x="133" s="1" nd="1"/>
        <i x="286" s="1" nd="1"/>
        <i x="104" s="1" nd="1"/>
        <i x="226" s="1" nd="1"/>
        <i x="348" s="1" nd="1"/>
        <i x="44" s="1" nd="1"/>
        <i x="13" s="1" nd="1"/>
        <i x="195" s="1" nd="1"/>
        <i x="165" s="1" nd="1"/>
        <i x="73" s="1" nd="1"/>
        <i x="134" s="1" nd="1"/>
        <i x="318" s="1" nd="1"/>
        <i x="105" s="1" nd="1"/>
        <i x="45" s="1" nd="1"/>
        <i x="14" s="1" nd="1"/>
        <i x="196" s="1" nd="1"/>
        <i x="166" s="1" nd="1"/>
        <i x="74" s="1" nd="1"/>
        <i x="135" s="1" nd="1"/>
        <i x="288" s="1" nd="1"/>
        <i x="106" s="1" nd="1"/>
        <i x="228" s="1" nd="1"/>
        <i x="350" s="1" nd="1"/>
        <i x="46" s="1" nd="1"/>
        <i x="15" s="1" nd="1"/>
        <i x="197" s="1" nd="1"/>
        <i x="167" s="1" nd="1"/>
        <i x="75" s="1" nd="1"/>
        <i x="136" s="1" nd="1"/>
        <i x="320" s="1" nd="1"/>
        <i x="289" s="1" nd="1"/>
        <i x="107" s="1" nd="1"/>
        <i x="351" s="1" nd="1"/>
        <i x="47" s="1" nd="1"/>
        <i x="16" s="1" nd="1"/>
        <i x="198" s="1" nd="1"/>
        <i x="168" s="1" nd="1"/>
        <i x="76" s="1" nd="1"/>
        <i x="137" s="1" nd="1"/>
        <i x="321" s="1" nd="1"/>
        <i x="108" s="1" nd="1"/>
        <i x="352" s="1" nd="1"/>
        <i x="48" s="1" nd="1"/>
        <i x="17" s="1" nd="1"/>
        <i x="199" s="1" nd="1"/>
        <i x="169" s="1" nd="1"/>
        <i x="77" s="1" nd="1"/>
        <i x="138" s="1" nd="1"/>
        <i x="261" s="1" nd="1"/>
        <i x="109" s="1" nd="1"/>
        <i x="231" s="1" nd="1"/>
        <i x="353" s="1" nd="1"/>
        <i x="49" s="1" nd="1"/>
        <i x="18" s="1" nd="1"/>
        <i x="200" s="1" nd="1"/>
        <i x="170" s="1" nd="1"/>
        <i x="78" s="1" nd="1"/>
        <i x="139" s="1" nd="1"/>
        <i x="323" s="1" nd="1"/>
        <i x="292" s="1" nd="1"/>
        <i x="262" s="1" nd="1"/>
        <i x="110" s="1" nd="1"/>
        <i x="354" s="1" nd="1"/>
        <i x="50" s="1" nd="1"/>
        <i x="19" s="1" nd="1"/>
        <i x="201" s="1" nd="1"/>
        <i x="171" s="1" nd="1"/>
        <i x="79" s="1" nd="1"/>
        <i x="140" s="1" nd="1"/>
        <i x="293" s="1" nd="1"/>
        <i x="263" s="1" nd="1"/>
        <i x="92" s="1" nd="1"/>
        <i x="214" s="1" nd="1"/>
        <i x="32" s="1" nd="1"/>
        <i x="1" s="1" nd="1"/>
        <i x="183" s="1" nd="1"/>
        <i x="153" s="1" nd="1"/>
        <i x="61" s="1" nd="1"/>
        <i x="122" s="1" nd="1"/>
        <i x="306" s="1" nd="1"/>
        <i x="111" s="1" nd="1"/>
        <i x="233" s="1" nd="1"/>
        <i x="355" s="1" nd="1"/>
        <i x="51" s="1" nd="1"/>
        <i x="20" s="1" nd="1"/>
        <i x="202" s="1" nd="1"/>
        <i x="172" s="1" nd="1"/>
        <i x="80" s="1" nd="1"/>
        <i x="141" s="1" nd="1"/>
        <i x="264" s="1" nd="1"/>
        <i x="112" s="1" nd="1"/>
        <i x="234" s="1" nd="1"/>
        <i x="356" s="1" nd="1"/>
        <i x="52" s="1" nd="1"/>
        <i x="21" s="1" nd="1"/>
        <i x="203" s="1" nd="1"/>
        <i x="173" s="1" nd="1"/>
        <i x="81" s="1" nd="1"/>
        <i x="142" s="1" nd="1"/>
        <i x="326" s="1" nd="1"/>
        <i x="113" s="1" nd="1"/>
        <i x="235" s="1" nd="1"/>
        <i x="357" s="1" nd="1"/>
        <i x="53" s="1" nd="1"/>
        <i x="22" s="1" nd="1"/>
        <i x="204" s="1" nd="1"/>
        <i x="174" s="1" nd="1"/>
        <i x="82" s="1" nd="1"/>
        <i x="143" s="1" nd="1"/>
        <i x="266" s="1" nd="1"/>
        <i x="114" s="1" nd="1"/>
        <i x="236" s="1" nd="1"/>
        <i x="358" s="1" nd="1"/>
        <i x="54" s="1" nd="1"/>
        <i x="23" s="1" nd="1"/>
        <i x="205" s="1" nd="1"/>
        <i x="175" s="1" nd="1"/>
        <i x="83" s="1" nd="1"/>
        <i x="144" s="1" nd="1"/>
        <i x="328" s="1" nd="1"/>
        <i x="297" s="1" nd="1"/>
        <i x="115" s="1" nd="1"/>
        <i x="237" s="1" nd="1"/>
        <i x="359" s="1" nd="1"/>
        <i x="55" s="1" nd="1"/>
        <i x="24" s="1" nd="1"/>
        <i x="206" s="1" nd="1"/>
        <i x="176" s="1" nd="1"/>
        <i x="84" s="1" nd="1"/>
        <i x="145" s="1" nd="1"/>
        <i x="268" s="1" nd="1"/>
        <i x="116" s="1" nd="1"/>
        <i x="360" s="1" nd="1"/>
        <i x="56" s="1" nd="1"/>
        <i x="25" s="1" nd="1"/>
        <i x="207" s="1" nd="1"/>
        <i x="177" s="1" nd="1"/>
        <i x="85" s="1" nd="1"/>
        <i x="146" s="1" nd="1"/>
        <i x="330" s="1" nd="1"/>
        <i x="299" s="1" nd="1"/>
        <i x="269" s="1" nd="1"/>
        <i x="117" s="1" nd="1"/>
        <i x="239" s="1" nd="1"/>
        <i x="361" s="1" nd="1"/>
        <i x="57" s="1" nd="1"/>
        <i x="26" s="1" nd="1"/>
        <i x="208" s="1" nd="1"/>
        <i x="178" s="1" nd="1"/>
        <i x="86" s="1" nd="1"/>
        <i x="147" s="1" nd="1"/>
        <i x="331" s="1" nd="1"/>
        <i x="118" s="1" nd="1"/>
        <i x="240" s="1" nd="1"/>
        <i x="362" s="1" nd="1"/>
        <i x="58" s="1" nd="1"/>
        <i x="27" s="1" nd="1"/>
        <i x="179" s="1" nd="1"/>
        <i x="87" s="1" nd="1"/>
        <i x="148" s="1" nd="1"/>
        <i x="301" s="1" nd="1"/>
        <i x="271" s="1" nd="1"/>
        <i x="119" s="1" nd="1"/>
        <i x="241" s="1" nd="1"/>
        <i x="363" s="1" nd="1"/>
        <i x="59" s="1" nd="1"/>
        <i x="28" s="1" nd="1"/>
        <i x="180" s="1" nd="1"/>
        <i x="88" s="1" nd="1"/>
        <i x="149" s="1" nd="1"/>
        <i x="333" s="1" nd="1"/>
        <i x="272" s="1" nd="1"/>
        <i x="120" s="1" nd="1"/>
        <i x="242" s="1" nd="1"/>
        <i x="364" s="1" nd="1"/>
        <i x="60" s="1" nd="1"/>
        <i x="29" s="1" nd="1"/>
        <i x="211" s="1" nd="1"/>
        <i x="181" s="1" nd="1"/>
        <i x="89" s="1" nd="1"/>
        <i x="150" s="1" nd="1"/>
        <i x="303" s="1" nd="1"/>
        <i x="93" s="1" nd="1"/>
        <i x="215" s="1" nd="1"/>
        <i x="33" s="1" nd="1"/>
        <i x="2" s="1" nd="1"/>
        <i x="184" s="1" nd="1"/>
        <i x="154" s="1" nd="1"/>
        <i x="62" s="1" nd="1"/>
        <i x="123" s="1" nd="1"/>
        <i x="307" s="1" nd="1"/>
        <i x="276" s="1" nd="1"/>
        <i x="246" s="1" nd="1"/>
        <i x="121" s="1" nd="1"/>
        <i x="243" s="1" nd="1"/>
        <i x="365" s="1" nd="1"/>
        <i x="30" s="1" nd="1"/>
        <i x="212" s="1" nd="1"/>
        <i x="182" s="1" nd="1"/>
        <i x="90" s="1" nd="1"/>
        <i x="151" s="1" nd="1"/>
        <i x="304" s="1" nd="1"/>
        <i x="274" s="1" nd="1"/>
        <i x="244" s="1" nd="1"/>
        <i x="366" s="1" nd="1"/>
        <i x="31" s="1" nd="1"/>
        <i x="213" s="1" nd="1"/>
        <i x="91" s="1" nd="1"/>
        <i x="152" s="1" nd="1"/>
        <i x="305" s="1" nd="1"/>
        <i x="94" s="1" nd="1"/>
        <i x="216" s="1" nd="1"/>
        <i x="338" s="1" nd="1"/>
        <i x="34" s="1" nd="1"/>
        <i x="3" s="1" nd="1"/>
        <i x="185" s="1" nd="1"/>
        <i x="155" s="1" nd="1"/>
        <i x="63" s="1" nd="1"/>
        <i x="124" s="1" nd="1"/>
        <i x="308" s="1" nd="1"/>
        <i x="95" s="1" nd="1"/>
        <i x="217" s="1" nd="1"/>
        <i x="35" s="1" nd="1"/>
        <i x="4" s="1" nd="1"/>
        <i x="186" s="1" nd="1"/>
        <i x="156" s="1" nd="1"/>
        <i x="64" s="1" nd="1"/>
        <i x="125" s="1" nd="1"/>
        <i x="309" s="1" nd="1"/>
        <i x="278" s="1" nd="1"/>
        <i x="96" s="1" nd="1"/>
        <i x="218" s="1" nd="1"/>
        <i x="340" s="1" nd="1"/>
        <i x="36" s="1" nd="1"/>
        <i x="5" s="1" nd="1"/>
        <i x="187" s="1" nd="1"/>
        <i x="157" s="1" nd="1"/>
        <i x="65" s="1" nd="1"/>
        <i x="126" s="1" nd="1"/>
        <i x="310" s="1" nd="1"/>
        <i x="279" s="1" nd="1"/>
        <i x="97" s="1" nd="1"/>
        <i x="219" s="1" nd="1"/>
        <i x="341" s="1" nd="1"/>
        <i x="37" s="1" nd="1"/>
        <i x="6" s="1" nd="1"/>
        <i x="188" s="1" nd="1"/>
        <i x="158" s="1" nd="1"/>
        <i x="66" s="1" nd="1"/>
        <i x="127" s="1" nd="1"/>
        <i x="311" s="1" nd="1"/>
        <i x="280" s="1" nd="1"/>
        <i x="98" s="1" nd="1"/>
        <i x="220" s="1" nd="1"/>
        <i x="342" s="1" nd="1"/>
        <i x="38" s="1" nd="1"/>
        <i x="7" s="1" nd="1"/>
        <i x="189" s="1" nd="1"/>
        <i x="159" s="1" nd="1"/>
        <i x="67" s="1" nd="1"/>
        <i x="128" s="1" nd="1"/>
        <i x="312" s="1" nd="1"/>
        <i x="251" s="1" nd="1"/>
        <i x="99" s="1" nd="1"/>
        <i x="221" s="1" nd="1"/>
        <i x="343" s="1" nd="1"/>
        <i x="39" s="1" nd="1"/>
        <i x="8" s="1" nd="1"/>
        <i x="190" s="1" nd="1"/>
        <i x="160" s="1" nd="1"/>
        <i x="68" s="1" nd="1"/>
        <i x="129" s="1" nd="1"/>
        <i x="252" s="1" nd="1"/>
        <i x="100" s="1" nd="1"/>
        <i x="222" s="1" nd="1"/>
        <i x="40" s="1" nd="1"/>
        <i x="9" s="1" nd="1"/>
        <i x="191" s="1" nd="1"/>
        <i x="161" s="1" nd="1"/>
        <i x="69" s="1" nd="1"/>
        <i x="130" s="1" nd="1"/>
        <i x="314" s="1" nd="1"/>
        <i x="28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 xr10:uid="{A3416282-B6F2-42E0-BB9F-788733B7598A}" sourceName="الحالة">
  <pivotTables>
    <pivotTable tabId="9" name="PivotTable17"/>
    <pivotTable tabId="9" name="PivotTable11"/>
    <pivotTable tabId="9" name="PivotTable13"/>
    <pivotTable tabId="9" name="PivotTable14"/>
    <pivotTable tabId="9" name="PivotTable2"/>
    <pivotTable tabId="9" name="PivotTable3"/>
    <pivotTable tabId="9" name="PivotTable4"/>
    <pivotTable tabId="9" name="PivotTable6"/>
    <pivotTable tabId="9" name="PivotTable7"/>
    <pivotTable tabId="9" name="PivotTable8"/>
    <pivotTable tabId="9" name="PivotTable9"/>
  </pivotTables>
  <data>
    <tabular pivotCacheId="700056689">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ميعاد الطلب" xr10:uid="{C3AD57E6-34D9-4A52-96D2-A050932B622F}" cache="Slicer_ميعاد_الطلب" caption="ميعاد الطلب" rowHeight="241300"/>
  <slicer name="الحالة" xr10:uid="{A7B1B505-3AEB-4484-809B-2C210299D8BA}" cache="Slicer_الحالة" caption="الحالة"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ميعاد الطلب 1" xr10:uid="{3C18D30F-9B61-40C3-8BC7-0332470D226E}" cache="Slicer_ميعاد_الطلب" caption="ميعاد الطلب" columnCount="4"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حالة 1" xr10:uid="{F49B8F32-DEFF-42CF-B818-7AFCC90D6DC9}" cache="Slicer_الحالة" caption="الحالة" columnCount="4"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C59D1C-88B1-4F84-9544-025EF0BA5A23}" name="Table1_2" displayName="Table1_2" ref="A1:B127" tableType="queryTable" totalsRowShown="0">
  <autoFilter ref="A1:B127" xr:uid="{54C59D1C-88B1-4F84-9544-025EF0BA5A23}"/>
  <tableColumns count="2">
    <tableColumn id="1" xr3:uid="{1C7B5D44-F71F-40F1-B342-C0FA6B09DCC7}" uniqueName="1" name="أسم العميل" queryTableFieldId="1" dataDxfId="88"/>
    <tableColumn id="2" xr3:uid="{BCAEEB64-A748-4044-9157-80C983BADED8}" uniqueName="2" name="نوع العميل"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D4FD6E-FB05-43F7-A31E-DB1D6F8D4D05}" name="Table1__2" displayName="Table1__2" ref="A1:E127" tableType="queryTable" totalsRowShown="0">
  <autoFilter ref="A1:E127" xr:uid="{45D4FD6E-FB05-43F7-A31E-DB1D6F8D4D05}"/>
  <tableColumns count="5">
    <tableColumn id="1" xr3:uid="{C1156FFA-A2AD-4EC9-9157-652D42C3598D}" uniqueName="1" name="المنتج" queryTableFieldId="1" dataDxfId="87"/>
    <tableColumn id="2" xr3:uid="{A330D0B9-EA1E-44E8-A678-D0E39C8B10D3}" uniqueName="2" name="الصنف" queryTableFieldId="2"/>
    <tableColumn id="3" xr3:uid="{63E7BF17-5166-41AA-832C-2A160F3E2FAB}" uniqueName="3" name="لون الصنف" queryTableFieldId="3"/>
    <tableColumn id="4" xr3:uid="{DB1F1040-4A77-4446-A60A-DB3F033DBC0F}" uniqueName="4" name="الكمية" queryTableFieldId="4"/>
    <tableColumn id="5" xr3:uid="{B20E49E6-9B4E-43A0-9E47-A30F13CE2704}" uniqueName="5" name="المقاس"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9BD8316-E419-4863-BFE7-A62B47EF8520}" name="Table1__3" displayName="Table1__3" ref="A1:B127" tableType="queryTable" totalsRowShown="0">
  <autoFilter ref="A1:B127" xr:uid="{B9BD8316-E419-4863-BFE7-A62B47EF8520}"/>
  <tableColumns count="2">
    <tableColumn id="1" xr3:uid="{53087B41-609F-4AC8-8B6C-FB48BD24573D}" uniqueName="1" name="العنوان" queryTableFieldId="1" dataDxfId="86"/>
    <tableColumn id="2" xr3:uid="{3C3AB6C3-2392-496D-BF45-1DD637FC59DF}" uniqueName="2" name="المحافظة"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051B3E3-0E05-464D-BDD8-66620AFA284F}" name="Table1__4" displayName="Table1__4" ref="A1:B127" tableType="queryTable" totalsRowShown="0">
  <autoFilter ref="A1:B127" xr:uid="{9051B3E3-0E05-464D-BDD8-66620AFA284F}"/>
  <tableColumns count="2">
    <tableColumn id="1" xr3:uid="{DAA97FE4-3040-42AA-975E-0F070422DA21}" uniqueName="1" name="أسم العميل" queryTableFieldId="1" dataDxfId="85"/>
    <tableColumn id="2" xr3:uid="{C034679B-00B7-4B6F-BB7F-38F9476559BD}" uniqueName="2" name="انواع الافراد"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A7035C-A947-4047-A5D8-0717AC9FA694}" name="Table1" displayName="Table1" ref="A1:W127" totalsRowShown="0">
  <autoFilter ref="A1:W127" xr:uid="{0FA7035C-A947-4047-A5D8-0717AC9FA694}"/>
  <tableColumns count="23">
    <tableColumn id="4" xr3:uid="{A677280D-5F47-4BE8-AE68-3B3804AA6623}" name="أسم العميل"/>
    <tableColumn id="23" xr3:uid="{089EF6B4-F046-4886-B271-23B689955026}" name="نوع العميل "/>
    <tableColumn id="30" xr3:uid="{4DDEC969-3478-47A3-8BD6-946900DB3F8B}" name="نوع الافراد"/>
    <tableColumn id="29" xr3:uid="{1011FE03-8CFB-49AE-9A71-FF8711A2C05E}" name="المحافظة"/>
    <tableColumn id="5" xr3:uid="{E7E62DF3-1092-45D7-8932-9BD5513D5774}" name="العنوان"/>
    <tableColumn id="7" xr3:uid="{8EF75E25-2B07-43A2-AB2B-5C84BEBC1EDB}" name="منصة البيع "/>
    <tableColumn id="8" xr3:uid="{C1C60876-B4E5-4F5F-AD47-4A3721166C56}" name="الصنف"/>
    <tableColumn id="9" xr3:uid="{9758CDA1-0CF7-43AC-ADEC-5BDA8B642377}" name=" نوع الصنف"/>
    <tableColumn id="10" xr3:uid="{65A09E4A-FE8D-4786-9D2F-C13E6474ED9F}" name="الاسم"/>
    <tableColumn id="11" xr3:uid="{537C43FB-103E-4E84-94B5-4A6354E8F4DC}" name="المقاس"/>
    <tableColumn id="12" xr3:uid="{6BC5CC11-389E-4C8A-B68C-76AFE46587AB}" name="اللون الصنف"/>
    <tableColumn id="14" xr3:uid="{7887D73C-B581-4DAD-AF7F-2CB80EBD393A}" name="المنتج"/>
    <tableColumn id="15" xr3:uid="{CEA78B26-8BBF-4557-9DDE-1E6E790A5E53}" name="سعر البيع "/>
    <tableColumn id="24" xr3:uid="{97A50410-6E6B-4933-9C86-5EE0CA6A5A99}" name="طريقة الدفع2" dataDxfId="84">
      <calculatedColumnFormula>IF(ISNUMBER(Table1[[#This Row],[طريقه الدفع ]]), "كاش",Table1[[#This Row],[طريقه الدفع ]])</calculatedColumnFormula>
    </tableColumn>
    <tableColumn id="16" xr3:uid="{53F3C467-1A0B-4BC5-95B8-669BFAD74765}" name="طريقه الدفع "/>
    <tableColumn id="27" xr3:uid="{039D9E81-9E14-4860-BCCC-2E42691F8C05}" name="كفاءة التسليم" dataDxfId="83">
      <calculatedColumnFormula>IF(OR(Table1[[#This Row],[مدة التسليم (الفعلية)]]=0,Table1[[#This Row],[مدة التسليم (المفترضة)]]=0),0,IF(Table1[[#This Row],[مدة التسليم (الفعلية)]]&gt;Table1[[#This Row],[مدة التسليم (المفترضة)]],"تأخير","قبل الموعد"))</calculatedColumnFormula>
    </tableColumn>
    <tableColumn id="26" xr3:uid="{1BA222D8-A266-4CF8-BE0C-7188B9269206}" name="مدة التسليم (الفعلية)">
      <calculatedColumnFormula>IF(OR(ISBLANK(Table1[[#This Row],[تاريخ التسليم]]),ISBLANK(Table1[[#This Row],[ميعاد الطلب]])),0,Table1[[#This Row],[تاريخ التسليم]]-Table1[[#This Row],[ميعاد الطلب]])</calculatedColumnFormula>
    </tableColumn>
    <tableColumn id="25" xr3:uid="{E220F280-8ACF-4BC3-8CF3-CCF1A3F371BA}" name="مدة التسليم (المفترضة)" dataDxfId="82">
      <calculatedColumnFormula>IF(OR(ISBLANK(Table1[[#This Row],[ميعاد التسليم]]),ISBLANK(Table1[[#This Row],[ميعاد الطلب]])),0,Table1[[#This Row],[ميعاد التسليم]]-Table1[[#This Row],[ميعاد الطلب]])</calculatedColumnFormula>
    </tableColumn>
    <tableColumn id="17" xr3:uid="{D109616F-215D-4E31-A394-15B535A5CC90}" name="ميعاد الطلب" dataDxfId="81"/>
    <tableColumn id="18" xr3:uid="{B9E4E852-EDD5-4D58-9EB0-D9251956AE91}" name="ميعاد التسليم" dataDxfId="80"/>
    <tableColumn id="19" xr3:uid="{61690F60-40E7-466B-B1D6-906B440CB40E}" name="تاريخ التسليم" dataDxfId="79"/>
    <tableColumn id="20" xr3:uid="{DC48A4F4-E469-440D-A2AF-3CC563BC66AE}" name="المسئول عن التسليم"/>
    <tableColumn id="21" xr3:uid="{4E194C67-816D-4851-9930-4F4D3121EA6A}" name="الحالة"/>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dimension ref="A1:B16"/>
  <sheetViews>
    <sheetView showGridLines="0" rightToLeft="1" workbookViewId="0">
      <selection activeCell="I10" sqref="I10"/>
    </sheetView>
  </sheetViews>
  <sheetFormatPr defaultRowHeight="15" x14ac:dyDescent="0.25"/>
  <cols>
    <col min="2" max="2" width="41.85546875" customWidth="1"/>
  </cols>
  <sheetData>
    <row r="1" spans="1:2" x14ac:dyDescent="0.25">
      <c r="A1" s="11"/>
      <c r="B1" s="11"/>
    </row>
    <row r="2" spans="1:2" x14ac:dyDescent="0.25">
      <c r="A2" s="11"/>
      <c r="B2" s="11"/>
    </row>
    <row r="3" spans="1:2" s="9" customFormat="1" ht="25.5" x14ac:dyDescent="0.35">
      <c r="A3" s="9" t="s">
        <v>264</v>
      </c>
    </row>
    <row r="4" spans="1:2" s="10" customFormat="1" ht="18.75" x14ac:dyDescent="0.3">
      <c r="A4" s="13" t="s">
        <v>257</v>
      </c>
      <c r="B4" s="13"/>
    </row>
    <row r="5" spans="1:2" s="6" customFormat="1" x14ac:dyDescent="0.25">
      <c r="A5" s="14"/>
      <c r="B5" s="14"/>
    </row>
    <row r="6" spans="1:2" s="8" customFormat="1" ht="18.75" x14ac:dyDescent="0.3">
      <c r="A6" s="8" t="s">
        <v>263</v>
      </c>
    </row>
    <row r="7" spans="1:2" s="7" customFormat="1" ht="15.75" x14ac:dyDescent="0.25">
      <c r="A7" s="15" t="s">
        <v>258</v>
      </c>
      <c r="B7" s="12"/>
    </row>
    <row r="8" spans="1:2" s="7" customFormat="1" ht="15.75" x14ac:dyDescent="0.25">
      <c r="A8" s="12" t="s">
        <v>259</v>
      </c>
      <c r="B8" s="12"/>
    </row>
    <row r="9" spans="1:2" s="7" customFormat="1" ht="15.75" x14ac:dyDescent="0.25">
      <c r="A9" s="12" t="s">
        <v>260</v>
      </c>
      <c r="B9" s="12"/>
    </row>
    <row r="10" spans="1:2" s="7" customFormat="1" ht="15.75" x14ac:dyDescent="0.25">
      <c r="A10" s="12" t="s">
        <v>261</v>
      </c>
      <c r="B10" s="12"/>
    </row>
    <row r="11" spans="1:2" s="12" customFormat="1" ht="15.75" x14ac:dyDescent="0.25">
      <c r="A11" s="12" t="s">
        <v>265</v>
      </c>
    </row>
    <row r="12" spans="1:2" s="7" customFormat="1" ht="15.75" x14ac:dyDescent="0.25">
      <c r="A12" s="12" t="s">
        <v>266</v>
      </c>
      <c r="B12" s="12"/>
    </row>
    <row r="13" spans="1:2" s="7" customFormat="1" ht="15.75" x14ac:dyDescent="0.25">
      <c r="A13" s="12" t="s">
        <v>262</v>
      </c>
      <c r="B13" s="12"/>
    </row>
    <row r="14" spans="1:2" s="7" customFormat="1" ht="15.75" x14ac:dyDescent="0.25">
      <c r="A14" s="12" t="s">
        <v>269</v>
      </c>
      <c r="B14" s="12"/>
    </row>
    <row r="15" spans="1:2" s="7" customFormat="1" ht="15.75" x14ac:dyDescent="0.25">
      <c r="A15" s="12" t="s">
        <v>267</v>
      </c>
      <c r="B15" s="12"/>
    </row>
    <row r="16" spans="1:2" ht="15.75" x14ac:dyDescent="0.25">
      <c r="A16" s="12" t="s">
        <v>268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4B34-6DFA-45D0-8C7B-AD6E7CD18E8E}">
  <dimension ref="A1:B127"/>
  <sheetViews>
    <sheetView topLeftCell="A95" workbookViewId="0">
      <selection activeCell="B2" sqref="B2:B127"/>
    </sheetView>
  </sheetViews>
  <sheetFormatPr defaultRowHeight="15" x14ac:dyDescent="0.25"/>
  <cols>
    <col min="1" max="1" width="16.7109375" bestFit="1" customWidth="1"/>
    <col min="2" max="2" width="9" bestFit="1" customWidth="1"/>
  </cols>
  <sheetData>
    <row r="1" spans="1:2" x14ac:dyDescent="0.25">
      <c r="A1" t="s">
        <v>0</v>
      </c>
      <c r="B1" t="s">
        <v>272</v>
      </c>
    </row>
    <row r="2" spans="1:2" x14ac:dyDescent="0.25">
      <c r="A2" s="17" t="s">
        <v>273</v>
      </c>
      <c r="B2" t="s">
        <v>274</v>
      </c>
    </row>
    <row r="3" spans="1:2" x14ac:dyDescent="0.25">
      <c r="A3" s="17" t="s">
        <v>15</v>
      </c>
      <c r="B3" t="s">
        <v>274</v>
      </c>
    </row>
    <row r="4" spans="1:2" x14ac:dyDescent="0.25">
      <c r="A4" s="17" t="s">
        <v>18</v>
      </c>
      <c r="B4" t="s">
        <v>274</v>
      </c>
    </row>
    <row r="5" spans="1:2" x14ac:dyDescent="0.25">
      <c r="A5" s="17" t="s">
        <v>21</v>
      </c>
      <c r="B5" t="s">
        <v>274</v>
      </c>
    </row>
    <row r="6" spans="1:2" x14ac:dyDescent="0.25">
      <c r="A6" s="17" t="s">
        <v>275</v>
      </c>
      <c r="B6" t="s">
        <v>274</v>
      </c>
    </row>
    <row r="7" spans="1:2" x14ac:dyDescent="0.25">
      <c r="A7" s="17" t="s">
        <v>47</v>
      </c>
      <c r="B7" t="s">
        <v>276</v>
      </c>
    </row>
    <row r="8" spans="1:2" x14ac:dyDescent="0.25">
      <c r="A8" s="17" t="s">
        <v>277</v>
      </c>
      <c r="B8" t="s">
        <v>274</v>
      </c>
    </row>
    <row r="9" spans="1:2" x14ac:dyDescent="0.25">
      <c r="A9" s="17" t="s">
        <v>33</v>
      </c>
      <c r="B9" t="s">
        <v>274</v>
      </c>
    </row>
    <row r="10" spans="1:2" x14ac:dyDescent="0.25">
      <c r="A10" s="17" t="s">
        <v>38</v>
      </c>
      <c r="B10" t="s">
        <v>276</v>
      </c>
    </row>
    <row r="11" spans="1:2" x14ac:dyDescent="0.25">
      <c r="A11" s="17" t="s">
        <v>38</v>
      </c>
      <c r="B11" t="s">
        <v>276</v>
      </c>
    </row>
    <row r="12" spans="1:2" x14ac:dyDescent="0.25">
      <c r="A12" s="17" t="s">
        <v>38</v>
      </c>
      <c r="B12" t="s">
        <v>276</v>
      </c>
    </row>
    <row r="13" spans="1:2" x14ac:dyDescent="0.25">
      <c r="A13" s="17" t="s">
        <v>38</v>
      </c>
      <c r="B13" t="s">
        <v>276</v>
      </c>
    </row>
    <row r="14" spans="1:2" x14ac:dyDescent="0.25">
      <c r="A14" s="17" t="s">
        <v>278</v>
      </c>
      <c r="B14" t="s">
        <v>274</v>
      </c>
    </row>
    <row r="15" spans="1:2" x14ac:dyDescent="0.25">
      <c r="A15" s="17" t="s">
        <v>279</v>
      </c>
      <c r="B15" t="s">
        <v>274</v>
      </c>
    </row>
    <row r="16" spans="1:2" x14ac:dyDescent="0.25">
      <c r="A16" s="17" t="s">
        <v>280</v>
      </c>
      <c r="B16" t="s">
        <v>274</v>
      </c>
    </row>
    <row r="17" spans="1:2" x14ac:dyDescent="0.25">
      <c r="A17" s="17" t="s">
        <v>281</v>
      </c>
      <c r="B17" t="s">
        <v>274</v>
      </c>
    </row>
    <row r="18" spans="1:2" x14ac:dyDescent="0.25">
      <c r="A18" s="17" t="s">
        <v>281</v>
      </c>
      <c r="B18" t="s">
        <v>274</v>
      </c>
    </row>
    <row r="19" spans="1:2" x14ac:dyDescent="0.25">
      <c r="A19" s="17" t="s">
        <v>53</v>
      </c>
      <c r="B19" t="s">
        <v>274</v>
      </c>
    </row>
    <row r="20" spans="1:2" x14ac:dyDescent="0.25">
      <c r="A20" s="17" t="s">
        <v>277</v>
      </c>
      <c r="B20" t="s">
        <v>274</v>
      </c>
    </row>
    <row r="21" spans="1:2" x14ac:dyDescent="0.25">
      <c r="A21" s="17" t="s">
        <v>38</v>
      </c>
      <c r="B21" t="s">
        <v>276</v>
      </c>
    </row>
    <row r="22" spans="1:2" x14ac:dyDescent="0.25">
      <c r="A22" s="17" t="s">
        <v>277</v>
      </c>
      <c r="B22" t="s">
        <v>274</v>
      </c>
    </row>
    <row r="23" spans="1:2" x14ac:dyDescent="0.25">
      <c r="A23" s="17" t="s">
        <v>277</v>
      </c>
      <c r="B23" t="s">
        <v>274</v>
      </c>
    </row>
    <row r="24" spans="1:2" x14ac:dyDescent="0.25">
      <c r="A24" s="17" t="s">
        <v>277</v>
      </c>
      <c r="B24" t="s">
        <v>274</v>
      </c>
    </row>
    <row r="25" spans="1:2" x14ac:dyDescent="0.25">
      <c r="A25" s="17" t="s">
        <v>100</v>
      </c>
      <c r="B25" t="s">
        <v>274</v>
      </c>
    </row>
    <row r="26" spans="1:2" x14ac:dyDescent="0.25">
      <c r="A26" s="17" t="s">
        <v>64</v>
      </c>
      <c r="B26" t="s">
        <v>274</v>
      </c>
    </row>
    <row r="27" spans="1:2" x14ac:dyDescent="0.25">
      <c r="A27" s="17" t="s">
        <v>47</v>
      </c>
      <c r="B27" t="s">
        <v>276</v>
      </c>
    </row>
    <row r="28" spans="1:2" x14ac:dyDescent="0.25">
      <c r="A28" s="17" t="s">
        <v>47</v>
      </c>
      <c r="B28" t="s">
        <v>276</v>
      </c>
    </row>
    <row r="29" spans="1:2" x14ac:dyDescent="0.25">
      <c r="A29" s="17" t="s">
        <v>77</v>
      </c>
      <c r="B29" t="s">
        <v>276</v>
      </c>
    </row>
    <row r="30" spans="1:2" x14ac:dyDescent="0.25">
      <c r="A30" s="17" t="s">
        <v>77</v>
      </c>
      <c r="B30" t="s">
        <v>276</v>
      </c>
    </row>
    <row r="31" spans="1:2" x14ac:dyDescent="0.25">
      <c r="A31" s="17" t="s">
        <v>77</v>
      </c>
      <c r="B31" t="s">
        <v>276</v>
      </c>
    </row>
    <row r="32" spans="1:2" x14ac:dyDescent="0.25">
      <c r="A32" s="17" t="s">
        <v>77</v>
      </c>
      <c r="B32" t="s">
        <v>276</v>
      </c>
    </row>
    <row r="33" spans="1:2" x14ac:dyDescent="0.25">
      <c r="A33" s="17" t="s">
        <v>135</v>
      </c>
      <c r="B33" t="s">
        <v>274</v>
      </c>
    </row>
    <row r="34" spans="1:2" x14ac:dyDescent="0.25">
      <c r="A34" s="17" t="s">
        <v>138</v>
      </c>
      <c r="B34" t="s">
        <v>274</v>
      </c>
    </row>
    <row r="35" spans="1:2" x14ac:dyDescent="0.25">
      <c r="A35" s="17" t="s">
        <v>282</v>
      </c>
      <c r="B35" t="s">
        <v>274</v>
      </c>
    </row>
    <row r="36" spans="1:2" x14ac:dyDescent="0.25">
      <c r="A36" s="17" t="s">
        <v>283</v>
      </c>
      <c r="B36" t="s">
        <v>274</v>
      </c>
    </row>
    <row r="37" spans="1:2" x14ac:dyDescent="0.25">
      <c r="A37" s="17" t="s">
        <v>74</v>
      </c>
      <c r="B37" t="s">
        <v>274</v>
      </c>
    </row>
    <row r="38" spans="1:2" x14ac:dyDescent="0.25">
      <c r="A38" s="17" t="s">
        <v>284</v>
      </c>
      <c r="B38" t="s">
        <v>274</v>
      </c>
    </row>
    <row r="39" spans="1:2" x14ac:dyDescent="0.25">
      <c r="A39" s="17" t="s">
        <v>93</v>
      </c>
      <c r="B39" t="s">
        <v>274</v>
      </c>
    </row>
    <row r="40" spans="1:2" x14ac:dyDescent="0.25">
      <c r="A40" s="17" t="s">
        <v>285</v>
      </c>
      <c r="B40" t="s">
        <v>274</v>
      </c>
    </row>
    <row r="41" spans="1:2" x14ac:dyDescent="0.25">
      <c r="A41" s="17" t="s">
        <v>286</v>
      </c>
      <c r="B41" t="s">
        <v>274</v>
      </c>
    </row>
    <row r="42" spans="1:2" x14ac:dyDescent="0.25">
      <c r="A42" s="17" t="s">
        <v>287</v>
      </c>
      <c r="B42" t="s">
        <v>274</v>
      </c>
    </row>
    <row r="43" spans="1:2" x14ac:dyDescent="0.25">
      <c r="A43" s="17" t="s">
        <v>287</v>
      </c>
      <c r="B43" t="s">
        <v>274</v>
      </c>
    </row>
    <row r="44" spans="1:2" x14ac:dyDescent="0.25">
      <c r="A44" s="17" t="s">
        <v>277</v>
      </c>
      <c r="B44" t="s">
        <v>274</v>
      </c>
    </row>
    <row r="45" spans="1:2" x14ac:dyDescent="0.25">
      <c r="A45" s="17" t="s">
        <v>288</v>
      </c>
      <c r="B45" t="s">
        <v>274</v>
      </c>
    </row>
    <row r="46" spans="1:2" x14ac:dyDescent="0.25">
      <c r="A46" s="17" t="s">
        <v>289</v>
      </c>
      <c r="B46" t="s">
        <v>274</v>
      </c>
    </row>
    <row r="47" spans="1:2" x14ac:dyDescent="0.25">
      <c r="A47" s="17" t="s">
        <v>290</v>
      </c>
      <c r="B47" t="s">
        <v>274</v>
      </c>
    </row>
    <row r="48" spans="1:2" x14ac:dyDescent="0.25">
      <c r="A48" s="17" t="s">
        <v>291</v>
      </c>
      <c r="B48" t="s">
        <v>274</v>
      </c>
    </row>
    <row r="49" spans="1:2" x14ac:dyDescent="0.25">
      <c r="A49" s="17" t="s">
        <v>292</v>
      </c>
      <c r="B49" t="s">
        <v>274</v>
      </c>
    </row>
    <row r="50" spans="1:2" x14ac:dyDescent="0.25">
      <c r="A50" s="17" t="s">
        <v>293</v>
      </c>
      <c r="B50" t="s">
        <v>274</v>
      </c>
    </row>
    <row r="51" spans="1:2" x14ac:dyDescent="0.25">
      <c r="A51" s="17" t="s">
        <v>294</v>
      </c>
      <c r="B51" t="s">
        <v>274</v>
      </c>
    </row>
    <row r="52" spans="1:2" x14ac:dyDescent="0.25">
      <c r="A52" s="17" t="s">
        <v>295</v>
      </c>
      <c r="B52" t="s">
        <v>274</v>
      </c>
    </row>
    <row r="53" spans="1:2" x14ac:dyDescent="0.25">
      <c r="A53" s="17" t="s">
        <v>111</v>
      </c>
      <c r="B53" t="s">
        <v>274</v>
      </c>
    </row>
    <row r="54" spans="1:2" x14ac:dyDescent="0.25">
      <c r="A54" s="17" t="s">
        <v>296</v>
      </c>
      <c r="B54" t="s">
        <v>274</v>
      </c>
    </row>
    <row r="55" spans="1:2" x14ac:dyDescent="0.25">
      <c r="A55" s="17" t="s">
        <v>297</v>
      </c>
      <c r="B55" t="s">
        <v>274</v>
      </c>
    </row>
    <row r="56" spans="1:2" x14ac:dyDescent="0.25">
      <c r="A56" s="17" t="s">
        <v>298</v>
      </c>
      <c r="B56" t="s">
        <v>274</v>
      </c>
    </row>
    <row r="57" spans="1:2" x14ac:dyDescent="0.25">
      <c r="A57" s="17" t="s">
        <v>298</v>
      </c>
      <c r="B57" t="s">
        <v>274</v>
      </c>
    </row>
    <row r="58" spans="1:2" x14ac:dyDescent="0.25">
      <c r="A58" s="17" t="s">
        <v>123</v>
      </c>
      <c r="B58" t="s">
        <v>274</v>
      </c>
    </row>
    <row r="59" spans="1:2" x14ac:dyDescent="0.25">
      <c r="A59" s="17" t="s">
        <v>123</v>
      </c>
      <c r="B59" t="s">
        <v>274</v>
      </c>
    </row>
    <row r="60" spans="1:2" x14ac:dyDescent="0.25">
      <c r="A60" s="17" t="s">
        <v>299</v>
      </c>
      <c r="B60" t="s">
        <v>274</v>
      </c>
    </row>
    <row r="61" spans="1:2" x14ac:dyDescent="0.25">
      <c r="A61" s="17" t="s">
        <v>300</v>
      </c>
      <c r="B61" t="s">
        <v>274</v>
      </c>
    </row>
    <row r="62" spans="1:2" x14ac:dyDescent="0.25">
      <c r="A62" s="17" t="s">
        <v>108</v>
      </c>
      <c r="B62" t="s">
        <v>274</v>
      </c>
    </row>
    <row r="63" spans="1:2" x14ac:dyDescent="0.25">
      <c r="A63" s="17" t="s">
        <v>301</v>
      </c>
      <c r="B63" t="s">
        <v>274</v>
      </c>
    </row>
    <row r="64" spans="1:2" x14ac:dyDescent="0.25">
      <c r="A64" s="17" t="s">
        <v>125</v>
      </c>
      <c r="B64" t="s">
        <v>274</v>
      </c>
    </row>
    <row r="65" spans="1:2" x14ac:dyDescent="0.25">
      <c r="A65" s="17" t="s">
        <v>302</v>
      </c>
      <c r="B65" t="s">
        <v>274</v>
      </c>
    </row>
    <row r="66" spans="1:2" x14ac:dyDescent="0.25">
      <c r="A66" s="17" t="s">
        <v>161</v>
      </c>
      <c r="B66" t="s">
        <v>274</v>
      </c>
    </row>
    <row r="67" spans="1:2" x14ac:dyDescent="0.25">
      <c r="A67" s="17" t="s">
        <v>161</v>
      </c>
      <c r="B67" t="s">
        <v>274</v>
      </c>
    </row>
    <row r="68" spans="1:2" x14ac:dyDescent="0.25">
      <c r="A68" s="17" t="s">
        <v>163</v>
      </c>
      <c r="B68" t="s">
        <v>274</v>
      </c>
    </row>
    <row r="69" spans="1:2" x14ac:dyDescent="0.25">
      <c r="A69" s="17" t="s">
        <v>170</v>
      </c>
      <c r="B69" t="s">
        <v>274</v>
      </c>
    </row>
    <row r="70" spans="1:2" x14ac:dyDescent="0.25">
      <c r="A70" s="17" t="s">
        <v>77</v>
      </c>
      <c r="B70" t="s">
        <v>276</v>
      </c>
    </row>
    <row r="71" spans="1:2" x14ac:dyDescent="0.25">
      <c r="A71" s="17" t="s">
        <v>38</v>
      </c>
      <c r="B71" t="s">
        <v>276</v>
      </c>
    </row>
    <row r="72" spans="1:2" x14ac:dyDescent="0.25">
      <c r="A72" s="17" t="s">
        <v>38</v>
      </c>
      <c r="B72" t="s">
        <v>276</v>
      </c>
    </row>
    <row r="73" spans="1:2" x14ac:dyDescent="0.25">
      <c r="A73" s="17" t="s">
        <v>175</v>
      </c>
      <c r="B73" t="s">
        <v>274</v>
      </c>
    </row>
    <row r="74" spans="1:2" x14ac:dyDescent="0.25">
      <c r="A74" s="17" t="s">
        <v>176</v>
      </c>
      <c r="B74" t="s">
        <v>274</v>
      </c>
    </row>
    <row r="75" spans="1:2" x14ac:dyDescent="0.25">
      <c r="A75" s="17" t="s">
        <v>47</v>
      </c>
      <c r="B75" t="s">
        <v>276</v>
      </c>
    </row>
    <row r="76" spans="1:2" x14ac:dyDescent="0.25">
      <c r="A76" s="17" t="s">
        <v>47</v>
      </c>
      <c r="B76" t="s">
        <v>276</v>
      </c>
    </row>
    <row r="77" spans="1:2" x14ac:dyDescent="0.25">
      <c r="A77" s="17" t="s">
        <v>47</v>
      </c>
      <c r="B77" t="s">
        <v>276</v>
      </c>
    </row>
    <row r="78" spans="1:2" x14ac:dyDescent="0.25">
      <c r="A78" s="17" t="s">
        <v>77</v>
      </c>
      <c r="B78" t="s">
        <v>276</v>
      </c>
    </row>
    <row r="79" spans="1:2" x14ac:dyDescent="0.25">
      <c r="A79" s="17" t="s">
        <v>181</v>
      </c>
      <c r="B79" t="s">
        <v>274</v>
      </c>
    </row>
    <row r="80" spans="1:2" x14ac:dyDescent="0.25">
      <c r="A80" s="17" t="s">
        <v>181</v>
      </c>
      <c r="B80" t="s">
        <v>274</v>
      </c>
    </row>
    <row r="81" spans="1:2" x14ac:dyDescent="0.25">
      <c r="A81" s="17" t="s">
        <v>181</v>
      </c>
      <c r="B81" t="s">
        <v>274</v>
      </c>
    </row>
    <row r="82" spans="1:2" x14ac:dyDescent="0.25">
      <c r="A82" s="17" t="s">
        <v>181</v>
      </c>
      <c r="B82" t="s">
        <v>274</v>
      </c>
    </row>
    <row r="83" spans="1:2" x14ac:dyDescent="0.25">
      <c r="A83" s="17" t="s">
        <v>189</v>
      </c>
      <c r="B83" t="s">
        <v>274</v>
      </c>
    </row>
    <row r="84" spans="1:2" x14ac:dyDescent="0.25">
      <c r="A84" s="17" t="s">
        <v>47</v>
      </c>
      <c r="B84" t="s">
        <v>276</v>
      </c>
    </row>
    <row r="85" spans="1:2" x14ac:dyDescent="0.25">
      <c r="A85" s="17" t="s">
        <v>47</v>
      </c>
      <c r="B85" t="s">
        <v>276</v>
      </c>
    </row>
    <row r="86" spans="1:2" x14ac:dyDescent="0.25">
      <c r="A86" s="17" t="s">
        <v>47</v>
      </c>
      <c r="B86" t="s">
        <v>276</v>
      </c>
    </row>
    <row r="87" spans="1:2" x14ac:dyDescent="0.25">
      <c r="A87" s="17" t="s">
        <v>196</v>
      </c>
      <c r="B87" t="s">
        <v>274</v>
      </c>
    </row>
    <row r="88" spans="1:2" x14ac:dyDescent="0.25">
      <c r="A88" s="17" t="s">
        <v>200</v>
      </c>
      <c r="B88" t="s">
        <v>274</v>
      </c>
    </row>
    <row r="89" spans="1:2" x14ac:dyDescent="0.25">
      <c r="A89" s="17" t="s">
        <v>201</v>
      </c>
      <c r="B89" t="s">
        <v>274</v>
      </c>
    </row>
    <row r="90" spans="1:2" x14ac:dyDescent="0.25">
      <c r="A90" s="17" t="s">
        <v>204</v>
      </c>
      <c r="B90" t="s">
        <v>274</v>
      </c>
    </row>
    <row r="91" spans="1:2" x14ac:dyDescent="0.25">
      <c r="A91" s="17" t="s">
        <v>47</v>
      </c>
      <c r="B91" t="s">
        <v>276</v>
      </c>
    </row>
    <row r="92" spans="1:2" x14ac:dyDescent="0.25">
      <c r="A92" s="17" t="s">
        <v>47</v>
      </c>
      <c r="B92" t="s">
        <v>276</v>
      </c>
    </row>
    <row r="93" spans="1:2" x14ac:dyDescent="0.25">
      <c r="A93" s="17" t="s">
        <v>77</v>
      </c>
      <c r="B93" t="s">
        <v>276</v>
      </c>
    </row>
    <row r="94" spans="1:2" x14ac:dyDescent="0.25">
      <c r="A94" s="17" t="s">
        <v>210</v>
      </c>
      <c r="B94" t="s">
        <v>274</v>
      </c>
    </row>
    <row r="95" spans="1:2" x14ac:dyDescent="0.25">
      <c r="A95" s="17" t="s">
        <v>47</v>
      </c>
      <c r="B95" t="s">
        <v>276</v>
      </c>
    </row>
    <row r="96" spans="1:2" x14ac:dyDescent="0.25">
      <c r="A96" s="17" t="s">
        <v>47</v>
      </c>
      <c r="B96" t="s">
        <v>276</v>
      </c>
    </row>
    <row r="97" spans="1:2" x14ac:dyDescent="0.25">
      <c r="A97" s="17" t="s">
        <v>123</v>
      </c>
      <c r="B97" t="s">
        <v>274</v>
      </c>
    </row>
    <row r="98" spans="1:2" x14ac:dyDescent="0.25">
      <c r="A98" s="17" t="s">
        <v>123</v>
      </c>
      <c r="B98" t="s">
        <v>274</v>
      </c>
    </row>
    <row r="99" spans="1:2" x14ac:dyDescent="0.25">
      <c r="A99" s="17" t="s">
        <v>213</v>
      </c>
      <c r="B99" t="s">
        <v>274</v>
      </c>
    </row>
    <row r="100" spans="1:2" x14ac:dyDescent="0.25">
      <c r="A100" s="17" t="s">
        <v>213</v>
      </c>
      <c r="B100" t="s">
        <v>274</v>
      </c>
    </row>
    <row r="101" spans="1:2" x14ac:dyDescent="0.25">
      <c r="A101" s="17" t="s">
        <v>303</v>
      </c>
      <c r="B101" t="s">
        <v>274</v>
      </c>
    </row>
    <row r="102" spans="1:2" x14ac:dyDescent="0.25">
      <c r="A102" s="17" t="s">
        <v>47</v>
      </c>
      <c r="B102" t="s">
        <v>276</v>
      </c>
    </row>
    <row r="103" spans="1:2" x14ac:dyDescent="0.25">
      <c r="A103" s="17" t="s">
        <v>216</v>
      </c>
      <c r="B103" t="s">
        <v>274</v>
      </c>
    </row>
    <row r="104" spans="1:2" x14ac:dyDescent="0.25">
      <c r="A104" s="17" t="s">
        <v>77</v>
      </c>
      <c r="B104" t="s">
        <v>276</v>
      </c>
    </row>
    <row r="105" spans="1:2" x14ac:dyDescent="0.25">
      <c r="A105" s="17" t="s">
        <v>218</v>
      </c>
      <c r="B105" t="s">
        <v>274</v>
      </c>
    </row>
    <row r="106" spans="1:2" x14ac:dyDescent="0.25">
      <c r="A106" s="17" t="s">
        <v>219</v>
      </c>
      <c r="B106" t="s">
        <v>274</v>
      </c>
    </row>
    <row r="107" spans="1:2" x14ac:dyDescent="0.25">
      <c r="A107" s="17" t="s">
        <v>77</v>
      </c>
      <c r="B107" t="s">
        <v>276</v>
      </c>
    </row>
    <row r="108" spans="1:2" x14ac:dyDescent="0.25">
      <c r="A108" s="17" t="s">
        <v>77</v>
      </c>
      <c r="B108" t="s">
        <v>276</v>
      </c>
    </row>
    <row r="109" spans="1:2" x14ac:dyDescent="0.25">
      <c r="A109" s="17" t="s">
        <v>304</v>
      </c>
      <c r="B109" t="s">
        <v>274</v>
      </c>
    </row>
    <row r="110" spans="1:2" x14ac:dyDescent="0.25">
      <c r="A110" s="17" t="s">
        <v>123</v>
      </c>
      <c r="B110" t="s">
        <v>274</v>
      </c>
    </row>
    <row r="111" spans="1:2" x14ac:dyDescent="0.25">
      <c r="A111" s="17" t="s">
        <v>38</v>
      </c>
      <c r="B111" t="s">
        <v>276</v>
      </c>
    </row>
    <row r="112" spans="1:2" x14ac:dyDescent="0.25">
      <c r="A112" s="17" t="s">
        <v>229</v>
      </c>
      <c r="B112" t="s">
        <v>274</v>
      </c>
    </row>
    <row r="113" spans="1:2" x14ac:dyDescent="0.25">
      <c r="A113" s="17" t="s">
        <v>305</v>
      </c>
      <c r="B113" t="s">
        <v>274</v>
      </c>
    </row>
    <row r="114" spans="1:2" x14ac:dyDescent="0.25">
      <c r="A114" s="17" t="s">
        <v>38</v>
      </c>
      <c r="B114" t="s">
        <v>276</v>
      </c>
    </row>
    <row r="115" spans="1:2" x14ac:dyDescent="0.25">
      <c r="A115" s="17" t="s">
        <v>235</v>
      </c>
      <c r="B115" t="s">
        <v>274</v>
      </c>
    </row>
    <row r="116" spans="1:2" x14ac:dyDescent="0.25">
      <c r="A116" s="17" t="s">
        <v>239</v>
      </c>
      <c r="B116" t="s">
        <v>274</v>
      </c>
    </row>
    <row r="117" spans="1:2" x14ac:dyDescent="0.25">
      <c r="A117" s="17" t="s">
        <v>242</v>
      </c>
      <c r="B117" t="s">
        <v>274</v>
      </c>
    </row>
    <row r="118" spans="1:2" x14ac:dyDescent="0.25">
      <c r="A118" s="17" t="s">
        <v>245</v>
      </c>
      <c r="B118" t="s">
        <v>274</v>
      </c>
    </row>
    <row r="119" spans="1:2" x14ac:dyDescent="0.25">
      <c r="A119" s="17" t="s">
        <v>245</v>
      </c>
      <c r="B119" t="s">
        <v>274</v>
      </c>
    </row>
    <row r="120" spans="1:2" x14ac:dyDescent="0.25">
      <c r="A120" s="17" t="s">
        <v>246</v>
      </c>
      <c r="B120" t="s">
        <v>274</v>
      </c>
    </row>
    <row r="121" spans="1:2" x14ac:dyDescent="0.25">
      <c r="A121" s="17" t="s">
        <v>248</v>
      </c>
      <c r="B121" t="s">
        <v>274</v>
      </c>
    </row>
    <row r="122" spans="1:2" x14ac:dyDescent="0.25">
      <c r="A122" s="17" t="s">
        <v>77</v>
      </c>
      <c r="B122" t="s">
        <v>276</v>
      </c>
    </row>
    <row r="123" spans="1:2" x14ac:dyDescent="0.25">
      <c r="A123" s="17" t="s">
        <v>306</v>
      </c>
      <c r="B123" t="s">
        <v>274</v>
      </c>
    </row>
    <row r="124" spans="1:2" x14ac:dyDescent="0.25">
      <c r="A124" s="17" t="s">
        <v>251</v>
      </c>
      <c r="B124" t="s">
        <v>274</v>
      </c>
    </row>
    <row r="125" spans="1:2" x14ac:dyDescent="0.25">
      <c r="A125" s="17" t="s">
        <v>307</v>
      </c>
      <c r="B125" t="s">
        <v>274</v>
      </c>
    </row>
    <row r="126" spans="1:2" x14ac:dyDescent="0.25">
      <c r="A126" s="17" t="s">
        <v>255</v>
      </c>
      <c r="B126" t="s">
        <v>274</v>
      </c>
    </row>
    <row r="127" spans="1:2" x14ac:dyDescent="0.25">
      <c r="A127" s="17" t="s">
        <v>47</v>
      </c>
      <c r="B127" t="s">
        <v>276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1A332-7166-4BB1-BF58-1E6D3BD3455D}">
  <dimension ref="A1:E127"/>
  <sheetViews>
    <sheetView topLeftCell="A37" workbookViewId="0">
      <selection activeCell="B2" sqref="B2:B65"/>
    </sheetView>
  </sheetViews>
  <sheetFormatPr defaultRowHeight="15" x14ac:dyDescent="0.25"/>
  <cols>
    <col min="1" max="1" width="37.28515625" bestFit="1" customWidth="1"/>
    <col min="3" max="3" width="12.7109375" customWidth="1"/>
    <col min="4" max="5" width="7.7109375" bestFit="1" customWidth="1"/>
  </cols>
  <sheetData>
    <row r="1" spans="1:5" x14ac:dyDescent="0.25">
      <c r="A1" t="s">
        <v>2</v>
      </c>
      <c r="B1" t="s">
        <v>270</v>
      </c>
      <c r="C1" t="s">
        <v>324</v>
      </c>
      <c r="D1" t="s">
        <v>325</v>
      </c>
      <c r="E1" t="s">
        <v>157</v>
      </c>
    </row>
    <row r="2" spans="1:5" x14ac:dyDescent="0.25">
      <c r="A2" s="17" t="s">
        <v>13</v>
      </c>
      <c r="B2" t="s">
        <v>141</v>
      </c>
      <c r="C2" t="s">
        <v>326</v>
      </c>
      <c r="D2">
        <v>1</v>
      </c>
      <c r="E2" t="s">
        <v>327</v>
      </c>
    </row>
    <row r="3" spans="1:5" x14ac:dyDescent="0.25">
      <c r="A3" s="17" t="s">
        <v>17</v>
      </c>
      <c r="B3" t="s">
        <v>141</v>
      </c>
      <c r="C3" t="s">
        <v>328</v>
      </c>
      <c r="D3">
        <v>1</v>
      </c>
      <c r="E3" t="s">
        <v>327</v>
      </c>
    </row>
    <row r="4" spans="1:5" x14ac:dyDescent="0.25">
      <c r="A4" s="17" t="s">
        <v>20</v>
      </c>
      <c r="B4" t="s">
        <v>141</v>
      </c>
      <c r="C4" t="s">
        <v>329</v>
      </c>
      <c r="D4">
        <v>1</v>
      </c>
      <c r="E4">
        <v>90</v>
      </c>
    </row>
    <row r="5" spans="1:5" x14ac:dyDescent="0.25">
      <c r="A5" s="17" t="s">
        <v>23</v>
      </c>
      <c r="B5" t="s">
        <v>237</v>
      </c>
      <c r="C5" t="s">
        <v>330</v>
      </c>
      <c r="D5">
        <v>1</v>
      </c>
      <c r="E5" t="s">
        <v>327</v>
      </c>
    </row>
    <row r="6" spans="1:5" x14ac:dyDescent="0.25">
      <c r="A6" s="17" t="s">
        <v>26</v>
      </c>
      <c r="B6" t="s">
        <v>141</v>
      </c>
      <c r="C6" t="s">
        <v>331</v>
      </c>
      <c r="D6">
        <v>1</v>
      </c>
      <c r="E6" t="s">
        <v>327</v>
      </c>
    </row>
    <row r="7" spans="1:5" x14ac:dyDescent="0.25">
      <c r="A7" s="17" t="s">
        <v>28</v>
      </c>
      <c r="B7" t="s">
        <v>141</v>
      </c>
      <c r="C7" t="s">
        <v>331</v>
      </c>
      <c r="D7">
        <v>1</v>
      </c>
      <c r="E7" t="s">
        <v>327</v>
      </c>
    </row>
    <row r="8" spans="1:5" x14ac:dyDescent="0.25">
      <c r="A8" s="17" t="s">
        <v>28</v>
      </c>
      <c r="B8" t="s">
        <v>141</v>
      </c>
      <c r="C8" t="s">
        <v>331</v>
      </c>
      <c r="D8">
        <v>1</v>
      </c>
      <c r="E8" t="s">
        <v>327</v>
      </c>
    </row>
    <row r="9" spans="1:5" x14ac:dyDescent="0.25">
      <c r="A9" s="17" t="s">
        <v>35</v>
      </c>
      <c r="B9" t="s">
        <v>141</v>
      </c>
      <c r="C9" t="s">
        <v>326</v>
      </c>
      <c r="D9">
        <v>1</v>
      </c>
      <c r="E9" t="s">
        <v>327</v>
      </c>
    </row>
    <row r="10" spans="1:5" x14ac:dyDescent="0.25">
      <c r="A10" s="17" t="s">
        <v>39</v>
      </c>
      <c r="B10" t="s">
        <v>332</v>
      </c>
      <c r="C10" t="s">
        <v>330</v>
      </c>
      <c r="D10">
        <v>1</v>
      </c>
      <c r="E10" t="s">
        <v>327</v>
      </c>
    </row>
    <row r="11" spans="1:5" x14ac:dyDescent="0.25">
      <c r="A11" s="17" t="s">
        <v>40</v>
      </c>
      <c r="B11" t="s">
        <v>178</v>
      </c>
      <c r="C11" t="s">
        <v>330</v>
      </c>
      <c r="D11">
        <v>2</v>
      </c>
      <c r="E11" t="s">
        <v>327</v>
      </c>
    </row>
    <row r="12" spans="1:5" x14ac:dyDescent="0.25">
      <c r="A12" s="17" t="s">
        <v>42</v>
      </c>
      <c r="B12" t="s">
        <v>178</v>
      </c>
      <c r="C12" t="s">
        <v>330</v>
      </c>
      <c r="D12">
        <v>2</v>
      </c>
      <c r="E12" t="s">
        <v>327</v>
      </c>
    </row>
    <row r="13" spans="1:5" x14ac:dyDescent="0.25">
      <c r="A13" s="17" t="s">
        <v>42</v>
      </c>
      <c r="B13" t="s">
        <v>178</v>
      </c>
      <c r="C13" t="s">
        <v>330</v>
      </c>
      <c r="D13">
        <v>2</v>
      </c>
      <c r="E13" t="s">
        <v>327</v>
      </c>
    </row>
    <row r="14" spans="1:5" x14ac:dyDescent="0.25">
      <c r="A14" s="17" t="s">
        <v>45</v>
      </c>
      <c r="B14" t="s">
        <v>141</v>
      </c>
      <c r="C14" t="s">
        <v>326</v>
      </c>
      <c r="D14">
        <v>1</v>
      </c>
      <c r="E14">
        <v>80</v>
      </c>
    </row>
    <row r="15" spans="1:5" x14ac:dyDescent="0.25">
      <c r="A15" s="17" t="s">
        <v>61</v>
      </c>
      <c r="B15" t="s">
        <v>141</v>
      </c>
      <c r="C15" t="s">
        <v>326</v>
      </c>
      <c r="D15">
        <v>1</v>
      </c>
      <c r="E15">
        <v>80</v>
      </c>
    </row>
    <row r="16" spans="1:5" x14ac:dyDescent="0.25">
      <c r="A16" s="17" t="s">
        <v>58</v>
      </c>
      <c r="B16" t="s">
        <v>237</v>
      </c>
      <c r="C16" t="s">
        <v>330</v>
      </c>
      <c r="D16">
        <v>1</v>
      </c>
      <c r="E16" t="s">
        <v>327</v>
      </c>
    </row>
    <row r="17" spans="1:5" x14ac:dyDescent="0.25">
      <c r="A17" s="17" t="s">
        <v>52</v>
      </c>
      <c r="B17" t="s">
        <v>141</v>
      </c>
      <c r="C17" t="s">
        <v>328</v>
      </c>
      <c r="D17">
        <v>2</v>
      </c>
      <c r="E17">
        <v>120</v>
      </c>
    </row>
    <row r="18" spans="1:5" x14ac:dyDescent="0.25">
      <c r="A18" s="17" t="s">
        <v>52</v>
      </c>
      <c r="B18" t="s">
        <v>141</v>
      </c>
      <c r="C18" t="s">
        <v>328</v>
      </c>
      <c r="D18">
        <v>2</v>
      </c>
      <c r="E18">
        <v>120</v>
      </c>
    </row>
    <row r="19" spans="1:5" x14ac:dyDescent="0.25">
      <c r="A19" s="17" t="s">
        <v>55</v>
      </c>
      <c r="B19" t="s">
        <v>141</v>
      </c>
      <c r="C19" t="s">
        <v>326</v>
      </c>
      <c r="D19">
        <v>1</v>
      </c>
      <c r="E19">
        <v>80</v>
      </c>
    </row>
    <row r="20" spans="1:5" x14ac:dyDescent="0.25">
      <c r="A20" s="17" t="s">
        <v>63</v>
      </c>
      <c r="B20" t="s">
        <v>141</v>
      </c>
      <c r="C20" t="s">
        <v>326</v>
      </c>
      <c r="D20">
        <v>1</v>
      </c>
      <c r="E20">
        <v>80</v>
      </c>
    </row>
    <row r="21" spans="1:5" x14ac:dyDescent="0.25">
      <c r="A21" s="17" t="s">
        <v>59</v>
      </c>
      <c r="B21" t="s">
        <v>333</v>
      </c>
      <c r="C21" t="s">
        <v>330</v>
      </c>
      <c r="D21">
        <v>2</v>
      </c>
      <c r="E21" t="s">
        <v>327</v>
      </c>
    </row>
    <row r="22" spans="1:5" x14ac:dyDescent="0.25">
      <c r="A22" s="17" t="s">
        <v>63</v>
      </c>
      <c r="B22" t="s">
        <v>141</v>
      </c>
      <c r="C22" t="s">
        <v>326</v>
      </c>
      <c r="D22">
        <v>1</v>
      </c>
      <c r="E22">
        <v>80</v>
      </c>
    </row>
    <row r="23" spans="1:5" x14ac:dyDescent="0.25">
      <c r="A23" s="17" t="s">
        <v>63</v>
      </c>
      <c r="B23" t="s">
        <v>141</v>
      </c>
      <c r="C23" t="s">
        <v>326</v>
      </c>
      <c r="D23">
        <v>1</v>
      </c>
      <c r="E23">
        <v>80</v>
      </c>
    </row>
    <row r="24" spans="1:5" x14ac:dyDescent="0.25">
      <c r="A24" s="17" t="s">
        <v>63</v>
      </c>
      <c r="B24" t="s">
        <v>141</v>
      </c>
      <c r="C24" t="s">
        <v>326</v>
      </c>
      <c r="D24">
        <v>1</v>
      </c>
      <c r="E24">
        <v>80</v>
      </c>
    </row>
    <row r="25" spans="1:5" x14ac:dyDescent="0.25">
      <c r="A25" s="17" t="s">
        <v>58</v>
      </c>
      <c r="B25" t="s">
        <v>237</v>
      </c>
      <c r="C25" t="s">
        <v>330</v>
      </c>
      <c r="D25">
        <v>1</v>
      </c>
      <c r="E25" t="s">
        <v>327</v>
      </c>
    </row>
    <row r="26" spans="1:5" x14ac:dyDescent="0.25">
      <c r="A26" s="17" t="s">
        <v>65</v>
      </c>
      <c r="B26" t="s">
        <v>141</v>
      </c>
      <c r="C26" t="s">
        <v>326</v>
      </c>
      <c r="D26">
        <v>1</v>
      </c>
      <c r="E26">
        <v>120</v>
      </c>
    </row>
    <row r="27" spans="1:5" x14ac:dyDescent="0.25">
      <c r="A27" s="17" t="s">
        <v>46</v>
      </c>
      <c r="B27" t="s">
        <v>141</v>
      </c>
      <c r="C27" t="s">
        <v>326</v>
      </c>
      <c r="D27">
        <v>1</v>
      </c>
      <c r="E27" t="s">
        <v>327</v>
      </c>
    </row>
    <row r="28" spans="1:5" x14ac:dyDescent="0.25">
      <c r="A28" s="17" t="s">
        <v>48</v>
      </c>
      <c r="B28" t="s">
        <v>141</v>
      </c>
      <c r="C28" t="s">
        <v>328</v>
      </c>
      <c r="D28">
        <v>1</v>
      </c>
      <c r="E28" t="s">
        <v>327</v>
      </c>
    </row>
    <row r="29" spans="1:5" x14ac:dyDescent="0.25">
      <c r="A29" s="17" t="s">
        <v>81</v>
      </c>
      <c r="B29" t="s">
        <v>141</v>
      </c>
      <c r="C29" t="s">
        <v>326</v>
      </c>
      <c r="D29">
        <v>2</v>
      </c>
      <c r="E29">
        <v>120</v>
      </c>
    </row>
    <row r="30" spans="1:5" x14ac:dyDescent="0.25">
      <c r="A30" s="17" t="s">
        <v>81</v>
      </c>
      <c r="B30" t="s">
        <v>141</v>
      </c>
      <c r="C30" t="s">
        <v>326</v>
      </c>
      <c r="D30">
        <v>2</v>
      </c>
      <c r="E30">
        <v>120</v>
      </c>
    </row>
    <row r="31" spans="1:5" x14ac:dyDescent="0.25">
      <c r="A31" s="17" t="s">
        <v>80</v>
      </c>
      <c r="B31" t="s">
        <v>141</v>
      </c>
      <c r="C31" t="s">
        <v>328</v>
      </c>
      <c r="D31">
        <v>2</v>
      </c>
      <c r="E31">
        <v>120</v>
      </c>
    </row>
    <row r="32" spans="1:5" x14ac:dyDescent="0.25">
      <c r="A32" s="17" t="s">
        <v>80</v>
      </c>
      <c r="B32" t="s">
        <v>141</v>
      </c>
      <c r="C32" t="s">
        <v>328</v>
      </c>
      <c r="D32">
        <v>2</v>
      </c>
      <c r="E32">
        <v>120</v>
      </c>
    </row>
    <row r="33" spans="1:5" x14ac:dyDescent="0.25">
      <c r="A33" s="17" t="s">
        <v>137</v>
      </c>
      <c r="B33" t="s">
        <v>141</v>
      </c>
      <c r="C33" t="s">
        <v>328</v>
      </c>
      <c r="D33">
        <v>1</v>
      </c>
      <c r="E33" t="s">
        <v>327</v>
      </c>
    </row>
    <row r="34" spans="1:5" x14ac:dyDescent="0.25">
      <c r="A34" s="17" t="s">
        <v>140</v>
      </c>
      <c r="B34" t="s">
        <v>237</v>
      </c>
      <c r="C34" t="s">
        <v>330</v>
      </c>
      <c r="D34">
        <v>1</v>
      </c>
      <c r="E34" t="s">
        <v>327</v>
      </c>
    </row>
    <row r="35" spans="1:5" x14ac:dyDescent="0.25">
      <c r="A35" s="17" t="s">
        <v>99</v>
      </c>
      <c r="B35" t="s">
        <v>141</v>
      </c>
      <c r="C35" t="s">
        <v>328</v>
      </c>
      <c r="D35">
        <v>1</v>
      </c>
      <c r="E35" t="s">
        <v>327</v>
      </c>
    </row>
    <row r="36" spans="1:5" x14ac:dyDescent="0.25">
      <c r="A36" s="17" t="s">
        <v>58</v>
      </c>
      <c r="B36" t="s">
        <v>237</v>
      </c>
      <c r="C36" t="s">
        <v>330</v>
      </c>
      <c r="D36">
        <v>1</v>
      </c>
      <c r="E36" t="s">
        <v>327</v>
      </c>
    </row>
    <row r="37" spans="1:5" x14ac:dyDescent="0.25">
      <c r="A37" s="17" t="s">
        <v>76</v>
      </c>
      <c r="B37" t="s">
        <v>141</v>
      </c>
      <c r="C37" t="s">
        <v>328</v>
      </c>
      <c r="D37">
        <v>1</v>
      </c>
      <c r="E37">
        <v>100</v>
      </c>
    </row>
    <row r="38" spans="1:5" x14ac:dyDescent="0.25">
      <c r="A38" s="17" t="s">
        <v>90</v>
      </c>
      <c r="B38" t="s">
        <v>141</v>
      </c>
      <c r="C38" t="s">
        <v>328</v>
      </c>
      <c r="D38">
        <v>1</v>
      </c>
      <c r="E38">
        <v>120</v>
      </c>
    </row>
    <row r="39" spans="1:5" x14ac:dyDescent="0.25">
      <c r="A39" s="17" t="s">
        <v>94</v>
      </c>
      <c r="B39" t="s">
        <v>141</v>
      </c>
      <c r="C39" t="s">
        <v>331</v>
      </c>
      <c r="D39">
        <v>1</v>
      </c>
      <c r="E39">
        <v>140</v>
      </c>
    </row>
    <row r="40" spans="1:5" x14ac:dyDescent="0.25">
      <c r="A40" s="17" t="s">
        <v>134</v>
      </c>
      <c r="B40" t="s">
        <v>141</v>
      </c>
      <c r="C40" t="s">
        <v>331</v>
      </c>
      <c r="D40">
        <v>1</v>
      </c>
      <c r="E40">
        <v>120</v>
      </c>
    </row>
    <row r="41" spans="1:5" x14ac:dyDescent="0.25">
      <c r="A41" s="17" t="s">
        <v>72</v>
      </c>
      <c r="B41" t="s">
        <v>141</v>
      </c>
      <c r="C41" t="s">
        <v>328</v>
      </c>
      <c r="D41">
        <v>1</v>
      </c>
      <c r="E41">
        <v>90</v>
      </c>
    </row>
    <row r="42" spans="1:5" x14ac:dyDescent="0.25">
      <c r="A42" s="17" t="s">
        <v>73</v>
      </c>
      <c r="B42" t="s">
        <v>141</v>
      </c>
      <c r="C42" t="s">
        <v>328</v>
      </c>
      <c r="D42">
        <v>2</v>
      </c>
      <c r="E42">
        <v>100</v>
      </c>
    </row>
    <row r="43" spans="1:5" x14ac:dyDescent="0.25">
      <c r="A43" s="17" t="s">
        <v>73</v>
      </c>
      <c r="B43" t="s">
        <v>141</v>
      </c>
      <c r="C43" t="s">
        <v>328</v>
      </c>
      <c r="D43">
        <v>2</v>
      </c>
      <c r="E43">
        <v>100</v>
      </c>
    </row>
    <row r="44" spans="1:5" x14ac:dyDescent="0.25">
      <c r="A44" s="17" t="s">
        <v>85</v>
      </c>
      <c r="B44" t="s">
        <v>141</v>
      </c>
      <c r="C44" t="s">
        <v>326</v>
      </c>
      <c r="D44">
        <v>1</v>
      </c>
      <c r="E44">
        <v>80</v>
      </c>
    </row>
    <row r="45" spans="1:5" x14ac:dyDescent="0.25">
      <c r="A45" s="17" t="s">
        <v>84</v>
      </c>
      <c r="B45" t="s">
        <v>141</v>
      </c>
      <c r="C45" t="s">
        <v>326</v>
      </c>
      <c r="D45">
        <v>1</v>
      </c>
      <c r="E45">
        <v>80</v>
      </c>
    </row>
    <row r="46" spans="1:5" x14ac:dyDescent="0.25">
      <c r="A46" s="17" t="s">
        <v>88</v>
      </c>
      <c r="B46" t="s">
        <v>141</v>
      </c>
      <c r="C46" t="s">
        <v>329</v>
      </c>
      <c r="D46">
        <v>1</v>
      </c>
      <c r="E46">
        <v>140</v>
      </c>
    </row>
    <row r="47" spans="1:5" x14ac:dyDescent="0.25">
      <c r="A47" s="17" t="s">
        <v>92</v>
      </c>
      <c r="B47" t="s">
        <v>141</v>
      </c>
      <c r="C47" t="s">
        <v>334</v>
      </c>
      <c r="D47">
        <v>1</v>
      </c>
      <c r="E47">
        <v>120</v>
      </c>
    </row>
    <row r="48" spans="1:5" x14ac:dyDescent="0.25">
      <c r="A48" s="17" t="s">
        <v>97</v>
      </c>
      <c r="B48" t="s">
        <v>141</v>
      </c>
      <c r="C48" t="s">
        <v>330</v>
      </c>
      <c r="D48">
        <v>1</v>
      </c>
      <c r="E48" t="s">
        <v>327</v>
      </c>
    </row>
    <row r="49" spans="1:5" x14ac:dyDescent="0.25">
      <c r="A49" s="17" t="s">
        <v>84</v>
      </c>
      <c r="B49" t="s">
        <v>141</v>
      </c>
      <c r="C49" t="s">
        <v>326</v>
      </c>
      <c r="D49">
        <v>1</v>
      </c>
      <c r="E49">
        <v>80</v>
      </c>
    </row>
    <row r="50" spans="1:5" x14ac:dyDescent="0.25">
      <c r="A50" s="17" t="s">
        <v>104</v>
      </c>
      <c r="B50" t="s">
        <v>141</v>
      </c>
      <c r="C50" t="s">
        <v>328</v>
      </c>
      <c r="D50">
        <v>1</v>
      </c>
      <c r="E50">
        <v>90</v>
      </c>
    </row>
    <row r="51" spans="1:5" x14ac:dyDescent="0.25">
      <c r="A51" s="17" t="s">
        <v>132</v>
      </c>
      <c r="B51" t="s">
        <v>310</v>
      </c>
      <c r="C51" t="s">
        <v>330</v>
      </c>
      <c r="D51">
        <v>1</v>
      </c>
      <c r="E51" t="s">
        <v>327</v>
      </c>
    </row>
    <row r="52" spans="1:5" x14ac:dyDescent="0.25">
      <c r="A52" s="17" t="s">
        <v>23</v>
      </c>
      <c r="B52" t="s">
        <v>237</v>
      </c>
      <c r="C52" t="s">
        <v>330</v>
      </c>
      <c r="D52">
        <v>1</v>
      </c>
      <c r="E52" t="s">
        <v>327</v>
      </c>
    </row>
    <row r="53" spans="1:5" x14ac:dyDescent="0.25">
      <c r="A53" s="17" t="s">
        <v>112</v>
      </c>
      <c r="B53" t="s">
        <v>141</v>
      </c>
      <c r="C53" t="s">
        <v>328</v>
      </c>
      <c r="D53">
        <v>1</v>
      </c>
      <c r="E53" t="s">
        <v>327</v>
      </c>
    </row>
    <row r="54" spans="1:5" x14ac:dyDescent="0.25">
      <c r="A54" s="17" t="s">
        <v>115</v>
      </c>
      <c r="B54" t="s">
        <v>141</v>
      </c>
      <c r="C54" t="s">
        <v>328</v>
      </c>
      <c r="D54">
        <v>1</v>
      </c>
      <c r="E54">
        <v>140</v>
      </c>
    </row>
    <row r="55" spans="1:5" x14ac:dyDescent="0.25">
      <c r="A55" s="17" t="s">
        <v>117</v>
      </c>
      <c r="B55" t="s">
        <v>310</v>
      </c>
      <c r="C55" t="s">
        <v>330</v>
      </c>
      <c r="D55">
        <v>1</v>
      </c>
      <c r="E55" t="s">
        <v>327</v>
      </c>
    </row>
    <row r="56" spans="1:5" x14ac:dyDescent="0.25">
      <c r="A56" s="17" t="s">
        <v>122</v>
      </c>
      <c r="B56" t="s">
        <v>141</v>
      </c>
      <c r="C56" t="s">
        <v>326</v>
      </c>
      <c r="D56">
        <v>2</v>
      </c>
      <c r="E56">
        <v>120</v>
      </c>
    </row>
    <row r="57" spans="1:5" x14ac:dyDescent="0.25">
      <c r="A57" s="17" t="s">
        <v>122</v>
      </c>
      <c r="B57" t="s">
        <v>141</v>
      </c>
      <c r="C57" t="s">
        <v>326</v>
      </c>
      <c r="D57">
        <v>2</v>
      </c>
      <c r="E57">
        <v>120</v>
      </c>
    </row>
    <row r="58" spans="1:5" x14ac:dyDescent="0.25">
      <c r="A58" s="17" t="s">
        <v>124</v>
      </c>
      <c r="B58" t="s">
        <v>141</v>
      </c>
      <c r="C58" t="s">
        <v>326</v>
      </c>
      <c r="D58">
        <v>2</v>
      </c>
      <c r="E58">
        <v>120</v>
      </c>
    </row>
    <row r="59" spans="1:5" x14ac:dyDescent="0.25">
      <c r="A59" s="17" t="s">
        <v>124</v>
      </c>
      <c r="B59" t="s">
        <v>141</v>
      </c>
      <c r="C59" t="s">
        <v>326</v>
      </c>
      <c r="D59">
        <v>2</v>
      </c>
      <c r="E59">
        <v>120</v>
      </c>
    </row>
    <row r="60" spans="1:5" x14ac:dyDescent="0.25">
      <c r="A60" s="17" t="s">
        <v>58</v>
      </c>
      <c r="B60" t="s">
        <v>237</v>
      </c>
      <c r="C60" t="s">
        <v>330</v>
      </c>
      <c r="D60">
        <v>1</v>
      </c>
      <c r="E60" t="s">
        <v>327</v>
      </c>
    </row>
    <row r="61" spans="1:5" x14ac:dyDescent="0.25">
      <c r="A61" s="17" t="s">
        <v>107</v>
      </c>
      <c r="B61" t="s">
        <v>141</v>
      </c>
      <c r="C61" t="s">
        <v>331</v>
      </c>
      <c r="D61">
        <v>1</v>
      </c>
      <c r="E61">
        <v>120</v>
      </c>
    </row>
    <row r="62" spans="1:5" x14ac:dyDescent="0.25">
      <c r="A62" s="17" t="s">
        <v>97</v>
      </c>
      <c r="B62" t="s">
        <v>141</v>
      </c>
      <c r="C62" t="s">
        <v>330</v>
      </c>
      <c r="D62">
        <v>1</v>
      </c>
      <c r="E62" t="s">
        <v>327</v>
      </c>
    </row>
    <row r="63" spans="1:5" x14ac:dyDescent="0.25">
      <c r="A63" s="17" t="s">
        <v>119</v>
      </c>
      <c r="B63" t="s">
        <v>141</v>
      </c>
      <c r="C63" t="s">
        <v>331</v>
      </c>
      <c r="D63">
        <v>1</v>
      </c>
      <c r="E63">
        <v>100</v>
      </c>
    </row>
    <row r="64" spans="1:5" x14ac:dyDescent="0.25">
      <c r="A64" s="17" t="s">
        <v>97</v>
      </c>
      <c r="B64" t="s">
        <v>141</v>
      </c>
      <c r="C64" t="s">
        <v>330</v>
      </c>
      <c r="D64">
        <v>1</v>
      </c>
      <c r="E64" t="s">
        <v>327</v>
      </c>
    </row>
    <row r="65" spans="1:5" x14ac:dyDescent="0.25">
      <c r="A65" s="17" t="s">
        <v>129</v>
      </c>
      <c r="B65" t="s">
        <v>141</v>
      </c>
      <c r="C65" t="s">
        <v>326</v>
      </c>
      <c r="D65">
        <v>1</v>
      </c>
      <c r="E65">
        <v>80</v>
      </c>
    </row>
    <row r="66" spans="1:5" x14ac:dyDescent="0.25">
      <c r="A66" s="17"/>
    </row>
    <row r="67" spans="1:5" x14ac:dyDescent="0.25">
      <c r="A67" s="17"/>
    </row>
    <row r="68" spans="1:5" x14ac:dyDescent="0.25">
      <c r="A68" s="17"/>
    </row>
    <row r="69" spans="1:5" x14ac:dyDescent="0.25">
      <c r="A69" s="17"/>
    </row>
    <row r="70" spans="1:5" x14ac:dyDescent="0.25">
      <c r="A70" s="17"/>
    </row>
    <row r="71" spans="1:5" x14ac:dyDescent="0.25">
      <c r="A71" s="17"/>
    </row>
    <row r="72" spans="1:5" x14ac:dyDescent="0.25">
      <c r="A72" s="17"/>
    </row>
    <row r="73" spans="1:5" x14ac:dyDescent="0.25">
      <c r="A73" s="17"/>
    </row>
    <row r="74" spans="1:5" x14ac:dyDescent="0.25">
      <c r="A74" s="17"/>
    </row>
    <row r="75" spans="1:5" x14ac:dyDescent="0.25">
      <c r="A75" s="17"/>
    </row>
    <row r="76" spans="1:5" x14ac:dyDescent="0.25">
      <c r="A76" s="17"/>
    </row>
    <row r="77" spans="1:5" x14ac:dyDescent="0.25">
      <c r="A77" s="17"/>
    </row>
    <row r="78" spans="1:5" x14ac:dyDescent="0.25">
      <c r="A78" s="17"/>
    </row>
    <row r="79" spans="1:5" x14ac:dyDescent="0.25">
      <c r="A79" s="17"/>
    </row>
    <row r="80" spans="1:5" x14ac:dyDescent="0.25">
      <c r="A80" s="17"/>
    </row>
    <row r="81" spans="1:1" x14ac:dyDescent="0.25">
      <c r="A81" s="17"/>
    </row>
    <row r="82" spans="1:1" x14ac:dyDescent="0.25">
      <c r="A82" s="17"/>
    </row>
    <row r="83" spans="1:1" x14ac:dyDescent="0.25">
      <c r="A83" s="17"/>
    </row>
    <row r="84" spans="1:1" x14ac:dyDescent="0.25">
      <c r="A84" s="17"/>
    </row>
    <row r="85" spans="1:1" x14ac:dyDescent="0.25">
      <c r="A85" s="17"/>
    </row>
    <row r="86" spans="1:1" x14ac:dyDescent="0.25">
      <c r="A86" s="17"/>
    </row>
    <row r="87" spans="1:1" x14ac:dyDescent="0.25">
      <c r="A87" s="17"/>
    </row>
    <row r="88" spans="1:1" x14ac:dyDescent="0.25">
      <c r="A88" s="17"/>
    </row>
    <row r="89" spans="1:1" x14ac:dyDescent="0.25">
      <c r="A89" s="17"/>
    </row>
    <row r="90" spans="1:1" x14ac:dyDescent="0.25">
      <c r="A90" s="17"/>
    </row>
    <row r="91" spans="1:1" x14ac:dyDescent="0.25">
      <c r="A91" s="17"/>
    </row>
    <row r="92" spans="1:1" x14ac:dyDescent="0.25">
      <c r="A92" s="17"/>
    </row>
    <row r="93" spans="1:1" x14ac:dyDescent="0.25">
      <c r="A93" s="17"/>
    </row>
    <row r="94" spans="1:1" x14ac:dyDescent="0.25">
      <c r="A94" s="17"/>
    </row>
    <row r="95" spans="1:1" x14ac:dyDescent="0.25">
      <c r="A95" s="17"/>
    </row>
    <row r="96" spans="1:1" x14ac:dyDescent="0.25">
      <c r="A96" s="17"/>
    </row>
    <row r="97" spans="1:1" x14ac:dyDescent="0.25">
      <c r="A97" s="17"/>
    </row>
    <row r="98" spans="1:1" x14ac:dyDescent="0.25">
      <c r="A98" s="17"/>
    </row>
    <row r="99" spans="1:1" x14ac:dyDescent="0.25">
      <c r="A99" s="17"/>
    </row>
    <row r="100" spans="1:1" x14ac:dyDescent="0.25">
      <c r="A100" s="17"/>
    </row>
    <row r="101" spans="1:1" x14ac:dyDescent="0.25">
      <c r="A101" s="17"/>
    </row>
    <row r="102" spans="1:1" x14ac:dyDescent="0.25">
      <c r="A102" s="17"/>
    </row>
    <row r="103" spans="1:1" x14ac:dyDescent="0.25">
      <c r="A103" s="17"/>
    </row>
    <row r="104" spans="1:1" x14ac:dyDescent="0.25">
      <c r="A104" s="17"/>
    </row>
    <row r="105" spans="1:1" x14ac:dyDescent="0.25">
      <c r="A105" s="17"/>
    </row>
    <row r="106" spans="1:1" x14ac:dyDescent="0.25">
      <c r="A106" s="17"/>
    </row>
    <row r="107" spans="1:1" x14ac:dyDescent="0.25">
      <c r="A107" s="17"/>
    </row>
    <row r="108" spans="1:1" x14ac:dyDescent="0.25">
      <c r="A108" s="17"/>
    </row>
    <row r="109" spans="1:1" x14ac:dyDescent="0.25">
      <c r="A109" s="17"/>
    </row>
    <row r="110" spans="1:1" x14ac:dyDescent="0.25">
      <c r="A110" s="17"/>
    </row>
    <row r="111" spans="1:1" x14ac:dyDescent="0.25">
      <c r="A111" s="17"/>
    </row>
    <row r="112" spans="1:1" x14ac:dyDescent="0.25">
      <c r="A112" s="17"/>
    </row>
    <row r="113" spans="1:1" x14ac:dyDescent="0.25">
      <c r="A113" s="17"/>
    </row>
    <row r="114" spans="1:1" x14ac:dyDescent="0.25">
      <c r="A114" s="17"/>
    </row>
    <row r="115" spans="1:1" x14ac:dyDescent="0.25">
      <c r="A115" s="17"/>
    </row>
    <row r="116" spans="1:1" x14ac:dyDescent="0.25">
      <c r="A116" s="17"/>
    </row>
    <row r="117" spans="1:1" x14ac:dyDescent="0.25">
      <c r="A117" s="17"/>
    </row>
    <row r="118" spans="1:1" x14ac:dyDescent="0.25">
      <c r="A118" s="17"/>
    </row>
    <row r="119" spans="1:1" x14ac:dyDescent="0.25">
      <c r="A119" s="17"/>
    </row>
    <row r="120" spans="1:1" x14ac:dyDescent="0.25">
      <c r="A120" s="17"/>
    </row>
    <row r="121" spans="1:1" x14ac:dyDescent="0.25">
      <c r="A121" s="17"/>
    </row>
    <row r="122" spans="1:1" x14ac:dyDescent="0.25">
      <c r="A122" s="17"/>
    </row>
    <row r="123" spans="1:1" x14ac:dyDescent="0.25">
      <c r="A123" s="17"/>
    </row>
    <row r="124" spans="1:1" x14ac:dyDescent="0.25">
      <c r="A124" s="17"/>
    </row>
    <row r="125" spans="1:1" x14ac:dyDescent="0.25">
      <c r="A125" s="17"/>
    </row>
    <row r="126" spans="1:1" x14ac:dyDescent="0.25">
      <c r="A126" s="17"/>
    </row>
    <row r="127" spans="1:1" x14ac:dyDescent="0.25">
      <c r="A127" s="1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E6D34-F287-4011-99AA-6F64E867EFEA}">
  <dimension ref="A1:B127"/>
  <sheetViews>
    <sheetView topLeftCell="A98" workbookViewId="0">
      <selection activeCell="B2" sqref="B2:B127"/>
    </sheetView>
  </sheetViews>
  <sheetFormatPr defaultRowHeight="15" x14ac:dyDescent="0.25"/>
  <cols>
    <col min="1" max="1" width="31" bestFit="1" customWidth="1"/>
    <col min="2" max="2" width="9.85546875" bestFit="1" customWidth="1"/>
  </cols>
  <sheetData>
    <row r="1" spans="1:2" x14ac:dyDescent="0.25">
      <c r="A1" t="s">
        <v>1</v>
      </c>
      <c r="B1" t="s">
        <v>337</v>
      </c>
    </row>
    <row r="2" spans="1:2" x14ac:dyDescent="0.25">
      <c r="A2" s="17" t="s">
        <v>12</v>
      </c>
      <c r="B2" t="s">
        <v>338</v>
      </c>
    </row>
    <row r="3" spans="1:2" x14ac:dyDescent="0.25">
      <c r="A3" s="17" t="s">
        <v>16</v>
      </c>
      <c r="B3" t="s">
        <v>339</v>
      </c>
    </row>
    <row r="4" spans="1:2" x14ac:dyDescent="0.25">
      <c r="A4" s="17" t="s">
        <v>19</v>
      </c>
      <c r="B4" t="s">
        <v>340</v>
      </c>
    </row>
    <row r="5" spans="1:2" x14ac:dyDescent="0.25">
      <c r="A5" s="17" t="s">
        <v>22</v>
      </c>
      <c r="B5" t="s">
        <v>341</v>
      </c>
    </row>
    <row r="6" spans="1:2" x14ac:dyDescent="0.25">
      <c r="A6" s="17" t="s">
        <v>19</v>
      </c>
      <c r="B6" t="s">
        <v>340</v>
      </c>
    </row>
    <row r="7" spans="1:2" x14ac:dyDescent="0.25">
      <c r="A7" s="17"/>
    </row>
    <row r="8" spans="1:2" x14ac:dyDescent="0.25">
      <c r="A8" s="17" t="s">
        <v>30</v>
      </c>
      <c r="B8" t="s">
        <v>342</v>
      </c>
    </row>
    <row r="9" spans="1:2" x14ac:dyDescent="0.25">
      <c r="A9" s="17" t="s">
        <v>34</v>
      </c>
      <c r="B9" t="s">
        <v>338</v>
      </c>
    </row>
    <row r="10" spans="1:2" x14ac:dyDescent="0.25">
      <c r="A10" s="17" t="s">
        <v>37</v>
      </c>
      <c r="B10" t="s">
        <v>342</v>
      </c>
    </row>
    <row r="11" spans="1:2" x14ac:dyDescent="0.25">
      <c r="A11" s="17" t="s">
        <v>37</v>
      </c>
      <c r="B11" t="s">
        <v>342</v>
      </c>
    </row>
    <row r="12" spans="1:2" x14ac:dyDescent="0.25">
      <c r="A12" s="17" t="s">
        <v>41</v>
      </c>
      <c r="B12" t="s">
        <v>342</v>
      </c>
    </row>
    <row r="13" spans="1:2" x14ac:dyDescent="0.25">
      <c r="A13" s="17" t="s">
        <v>41</v>
      </c>
      <c r="B13" t="s">
        <v>342</v>
      </c>
    </row>
    <row r="14" spans="1:2" x14ac:dyDescent="0.25">
      <c r="A14" s="17" t="s">
        <v>44</v>
      </c>
      <c r="B14" t="s">
        <v>310</v>
      </c>
    </row>
    <row r="15" spans="1:2" x14ac:dyDescent="0.25">
      <c r="A15" s="17" t="s">
        <v>34</v>
      </c>
      <c r="B15" t="s">
        <v>338</v>
      </c>
    </row>
    <row r="16" spans="1:2" x14ac:dyDescent="0.25">
      <c r="A16" s="17" t="s">
        <v>57</v>
      </c>
      <c r="B16" t="s">
        <v>310</v>
      </c>
    </row>
    <row r="17" spans="1:2" x14ac:dyDescent="0.25">
      <c r="A17" s="17" t="s">
        <v>50</v>
      </c>
      <c r="B17" t="s">
        <v>342</v>
      </c>
    </row>
    <row r="18" spans="1:2" x14ac:dyDescent="0.25">
      <c r="A18" s="17" t="s">
        <v>50</v>
      </c>
      <c r="B18" t="s">
        <v>342</v>
      </c>
    </row>
    <row r="19" spans="1:2" x14ac:dyDescent="0.25">
      <c r="A19" s="17" t="s">
        <v>54</v>
      </c>
      <c r="B19" t="s">
        <v>342</v>
      </c>
    </row>
    <row r="20" spans="1:2" x14ac:dyDescent="0.25">
      <c r="A20" s="17" t="s">
        <v>62</v>
      </c>
      <c r="B20" t="s">
        <v>342</v>
      </c>
    </row>
    <row r="21" spans="1:2" x14ac:dyDescent="0.25">
      <c r="A21" s="17" t="s">
        <v>37</v>
      </c>
      <c r="B21" t="s">
        <v>342</v>
      </c>
    </row>
    <row r="22" spans="1:2" x14ac:dyDescent="0.25">
      <c r="A22" s="17" t="s">
        <v>62</v>
      </c>
      <c r="B22" t="s">
        <v>342</v>
      </c>
    </row>
    <row r="23" spans="1:2" x14ac:dyDescent="0.25">
      <c r="A23" s="17" t="s">
        <v>62</v>
      </c>
      <c r="B23" t="s">
        <v>342</v>
      </c>
    </row>
    <row r="24" spans="1:2" x14ac:dyDescent="0.25">
      <c r="A24" s="17" t="s">
        <v>62</v>
      </c>
      <c r="B24" t="s">
        <v>342</v>
      </c>
    </row>
    <row r="25" spans="1:2" x14ac:dyDescent="0.25">
      <c r="A25" s="17" t="s">
        <v>101</v>
      </c>
      <c r="B25" t="s">
        <v>342</v>
      </c>
    </row>
    <row r="26" spans="1:2" x14ac:dyDescent="0.25">
      <c r="A26" s="17" t="s">
        <v>34</v>
      </c>
      <c r="B26" t="s">
        <v>338</v>
      </c>
    </row>
    <row r="27" spans="1:2" x14ac:dyDescent="0.25">
      <c r="A27" s="17"/>
    </row>
    <row r="28" spans="1:2" x14ac:dyDescent="0.25">
      <c r="A28" s="17"/>
    </row>
    <row r="29" spans="1:2" x14ac:dyDescent="0.25">
      <c r="A29" s="17" t="s">
        <v>78</v>
      </c>
      <c r="B29" t="s">
        <v>343</v>
      </c>
    </row>
    <row r="30" spans="1:2" x14ac:dyDescent="0.25">
      <c r="A30" s="17" t="s">
        <v>78</v>
      </c>
      <c r="B30" t="s">
        <v>343</v>
      </c>
    </row>
    <row r="31" spans="1:2" x14ac:dyDescent="0.25">
      <c r="A31" s="17" t="s">
        <v>78</v>
      </c>
      <c r="B31" t="s">
        <v>343</v>
      </c>
    </row>
    <row r="32" spans="1:2" x14ac:dyDescent="0.25">
      <c r="A32" s="17" t="s">
        <v>78</v>
      </c>
      <c r="B32" t="s">
        <v>343</v>
      </c>
    </row>
    <row r="33" spans="1:2" x14ac:dyDescent="0.25">
      <c r="A33" s="17" t="s">
        <v>136</v>
      </c>
      <c r="B33" t="s">
        <v>183</v>
      </c>
    </row>
    <row r="34" spans="1:2" x14ac:dyDescent="0.25">
      <c r="A34" s="17" t="s">
        <v>139</v>
      </c>
      <c r="B34" t="s">
        <v>339</v>
      </c>
    </row>
    <row r="35" spans="1:2" x14ac:dyDescent="0.25">
      <c r="A35" s="17" t="s">
        <v>34</v>
      </c>
      <c r="B35" t="s">
        <v>338</v>
      </c>
    </row>
    <row r="36" spans="1:2" x14ac:dyDescent="0.25">
      <c r="A36" s="17" t="s">
        <v>67</v>
      </c>
      <c r="B36" t="s">
        <v>342</v>
      </c>
    </row>
    <row r="37" spans="1:2" x14ac:dyDescent="0.25">
      <c r="A37" s="17" t="s">
        <v>75</v>
      </c>
      <c r="B37" t="s">
        <v>338</v>
      </c>
    </row>
    <row r="38" spans="1:2" x14ac:dyDescent="0.25">
      <c r="A38" s="17" t="s">
        <v>62</v>
      </c>
      <c r="B38" t="s">
        <v>342</v>
      </c>
    </row>
    <row r="39" spans="1:2" x14ac:dyDescent="0.25">
      <c r="A39" s="17" t="s">
        <v>62</v>
      </c>
      <c r="B39" t="s">
        <v>342</v>
      </c>
    </row>
    <row r="40" spans="1:2" x14ac:dyDescent="0.25">
      <c r="A40" s="17" t="s">
        <v>34</v>
      </c>
      <c r="B40" t="s">
        <v>338</v>
      </c>
    </row>
    <row r="41" spans="1:2" x14ac:dyDescent="0.25">
      <c r="A41" s="17" t="s">
        <v>69</v>
      </c>
      <c r="B41" t="s">
        <v>342</v>
      </c>
    </row>
    <row r="42" spans="1:2" x14ac:dyDescent="0.25">
      <c r="A42" s="17" t="s">
        <v>71</v>
      </c>
      <c r="B42" t="s">
        <v>338</v>
      </c>
    </row>
    <row r="43" spans="1:2" x14ac:dyDescent="0.25">
      <c r="A43" s="17" t="s">
        <v>71</v>
      </c>
      <c r="B43" t="s">
        <v>338</v>
      </c>
    </row>
    <row r="44" spans="1:2" x14ac:dyDescent="0.25">
      <c r="A44" s="17" t="s">
        <v>82</v>
      </c>
      <c r="B44" t="s">
        <v>342</v>
      </c>
    </row>
    <row r="45" spans="1:2" x14ac:dyDescent="0.25">
      <c r="A45" s="17" t="s">
        <v>22</v>
      </c>
      <c r="B45" t="s">
        <v>341</v>
      </c>
    </row>
    <row r="46" spans="1:2" x14ac:dyDescent="0.25">
      <c r="A46" s="17" t="s">
        <v>87</v>
      </c>
      <c r="B46" t="s">
        <v>183</v>
      </c>
    </row>
    <row r="47" spans="1:2" x14ac:dyDescent="0.25">
      <c r="A47" s="17" t="s">
        <v>34</v>
      </c>
      <c r="B47" t="s">
        <v>338</v>
      </c>
    </row>
    <row r="48" spans="1:2" x14ac:dyDescent="0.25">
      <c r="A48" s="17" t="s">
        <v>96</v>
      </c>
      <c r="B48" t="s">
        <v>342</v>
      </c>
    </row>
    <row r="49" spans="1:2" x14ac:dyDescent="0.25">
      <c r="A49" s="17" t="s">
        <v>34</v>
      </c>
      <c r="B49" t="s">
        <v>338</v>
      </c>
    </row>
    <row r="50" spans="1:2" x14ac:dyDescent="0.25">
      <c r="A50" s="17" t="s">
        <v>101</v>
      </c>
      <c r="B50" t="s">
        <v>342</v>
      </c>
    </row>
    <row r="51" spans="1:2" x14ac:dyDescent="0.25">
      <c r="A51" s="17" t="s">
        <v>131</v>
      </c>
      <c r="B51" t="s">
        <v>338</v>
      </c>
    </row>
    <row r="52" spans="1:2" x14ac:dyDescent="0.25">
      <c r="A52" s="17" t="s">
        <v>57</v>
      </c>
      <c r="B52" t="s">
        <v>310</v>
      </c>
    </row>
    <row r="53" spans="1:2" x14ac:dyDescent="0.25">
      <c r="A53" s="17" t="s">
        <v>34</v>
      </c>
      <c r="B53" t="s">
        <v>338</v>
      </c>
    </row>
    <row r="54" spans="1:2" x14ac:dyDescent="0.25">
      <c r="A54" s="17" t="s">
        <v>114</v>
      </c>
      <c r="B54" t="s">
        <v>338</v>
      </c>
    </row>
    <row r="55" spans="1:2" x14ac:dyDescent="0.25">
      <c r="A55" s="17" t="s">
        <v>82</v>
      </c>
      <c r="B55" t="s">
        <v>342</v>
      </c>
    </row>
    <row r="56" spans="1:2" x14ac:dyDescent="0.25">
      <c r="A56" s="17" t="s">
        <v>121</v>
      </c>
      <c r="B56" t="s">
        <v>342</v>
      </c>
    </row>
    <row r="57" spans="1:2" x14ac:dyDescent="0.25">
      <c r="A57" s="17" t="s">
        <v>121</v>
      </c>
      <c r="B57" t="s">
        <v>342</v>
      </c>
    </row>
    <row r="58" spans="1:2" x14ac:dyDescent="0.25">
      <c r="A58" s="17" t="s">
        <v>62</v>
      </c>
      <c r="B58" t="s">
        <v>342</v>
      </c>
    </row>
    <row r="59" spans="1:2" x14ac:dyDescent="0.25">
      <c r="A59" s="17" t="s">
        <v>62</v>
      </c>
      <c r="B59" t="s">
        <v>342</v>
      </c>
    </row>
    <row r="60" spans="1:2" x14ac:dyDescent="0.25">
      <c r="A60" s="17" t="s">
        <v>127</v>
      </c>
      <c r="B60" t="s">
        <v>343</v>
      </c>
    </row>
    <row r="61" spans="1:2" x14ac:dyDescent="0.25">
      <c r="A61" s="17" t="s">
        <v>106</v>
      </c>
      <c r="B61" t="s">
        <v>344</v>
      </c>
    </row>
    <row r="62" spans="1:2" x14ac:dyDescent="0.25">
      <c r="A62" s="17" t="s">
        <v>109</v>
      </c>
      <c r="B62" t="s">
        <v>341</v>
      </c>
    </row>
    <row r="63" spans="1:2" x14ac:dyDescent="0.25">
      <c r="A63" s="17" t="s">
        <v>82</v>
      </c>
      <c r="B63" t="s">
        <v>342</v>
      </c>
    </row>
    <row r="64" spans="1:2" x14ac:dyDescent="0.25">
      <c r="A64" s="17" t="s">
        <v>62</v>
      </c>
      <c r="B64" t="s">
        <v>342</v>
      </c>
    </row>
    <row r="65" spans="1:2" x14ac:dyDescent="0.25">
      <c r="A65" s="17" t="s">
        <v>57</v>
      </c>
      <c r="B65" t="s">
        <v>310</v>
      </c>
    </row>
    <row r="66" spans="1:2" x14ac:dyDescent="0.25">
      <c r="A66" s="17" t="s">
        <v>162</v>
      </c>
      <c r="B66" t="s">
        <v>310</v>
      </c>
    </row>
    <row r="67" spans="1:2" x14ac:dyDescent="0.25">
      <c r="A67" s="17" t="s">
        <v>162</v>
      </c>
      <c r="B67" t="s">
        <v>310</v>
      </c>
    </row>
    <row r="68" spans="1:2" x14ac:dyDescent="0.25">
      <c r="A68" s="17" t="s">
        <v>164</v>
      </c>
      <c r="B68" t="s">
        <v>310</v>
      </c>
    </row>
    <row r="69" spans="1:2" x14ac:dyDescent="0.25">
      <c r="A69" s="17" t="s">
        <v>136</v>
      </c>
      <c r="B69" t="s">
        <v>183</v>
      </c>
    </row>
    <row r="70" spans="1:2" x14ac:dyDescent="0.25">
      <c r="A70" s="17" t="s">
        <v>173</v>
      </c>
      <c r="B70" t="s">
        <v>343</v>
      </c>
    </row>
    <row r="71" spans="1:2" x14ac:dyDescent="0.25">
      <c r="A71" s="17" t="s">
        <v>37</v>
      </c>
      <c r="B71" t="s">
        <v>342</v>
      </c>
    </row>
    <row r="72" spans="1:2" x14ac:dyDescent="0.25">
      <c r="A72" s="17" t="s">
        <v>37</v>
      </c>
      <c r="B72" t="s">
        <v>342</v>
      </c>
    </row>
    <row r="73" spans="1:2" x14ac:dyDescent="0.25">
      <c r="A73" s="17" t="s">
        <v>37</v>
      </c>
      <c r="B73" t="s">
        <v>342</v>
      </c>
    </row>
    <row r="74" spans="1:2" x14ac:dyDescent="0.25">
      <c r="A74" s="17" t="s">
        <v>177</v>
      </c>
      <c r="B74" t="s">
        <v>338</v>
      </c>
    </row>
    <row r="75" spans="1:2" x14ac:dyDescent="0.25">
      <c r="A75" s="17" t="s">
        <v>195</v>
      </c>
      <c r="B75" t="s">
        <v>342</v>
      </c>
    </row>
    <row r="76" spans="1:2" x14ac:dyDescent="0.25">
      <c r="A76" s="17"/>
    </row>
    <row r="77" spans="1:2" x14ac:dyDescent="0.25">
      <c r="A77" s="17"/>
    </row>
    <row r="78" spans="1:2" x14ac:dyDescent="0.25">
      <c r="A78" s="17" t="s">
        <v>173</v>
      </c>
      <c r="B78" t="s">
        <v>343</v>
      </c>
    </row>
    <row r="79" spans="1:2" x14ac:dyDescent="0.25">
      <c r="A79" s="17" t="s">
        <v>182</v>
      </c>
      <c r="B79" t="s">
        <v>183</v>
      </c>
    </row>
    <row r="80" spans="1:2" x14ac:dyDescent="0.25">
      <c r="A80" s="17" t="s">
        <v>182</v>
      </c>
      <c r="B80" t="s">
        <v>183</v>
      </c>
    </row>
    <row r="81" spans="1:2" x14ac:dyDescent="0.25">
      <c r="A81" s="17" t="s">
        <v>182</v>
      </c>
      <c r="B81" t="s">
        <v>183</v>
      </c>
    </row>
    <row r="82" spans="1:2" x14ac:dyDescent="0.25">
      <c r="A82" s="17" t="s">
        <v>182</v>
      </c>
      <c r="B82" t="s">
        <v>183</v>
      </c>
    </row>
    <row r="83" spans="1:2" x14ac:dyDescent="0.25">
      <c r="A83" s="17" t="s">
        <v>190</v>
      </c>
      <c r="B83" t="s">
        <v>342</v>
      </c>
    </row>
    <row r="84" spans="1:2" x14ac:dyDescent="0.25">
      <c r="A84" s="17" t="s">
        <v>192</v>
      </c>
      <c r="B84" t="s">
        <v>310</v>
      </c>
    </row>
    <row r="85" spans="1:2" x14ac:dyDescent="0.25">
      <c r="A85" s="17" t="s">
        <v>194</v>
      </c>
      <c r="B85" t="s">
        <v>310</v>
      </c>
    </row>
    <row r="86" spans="1:2" x14ac:dyDescent="0.25">
      <c r="A86" s="17"/>
    </row>
    <row r="87" spans="1:2" x14ac:dyDescent="0.25">
      <c r="A87" s="17" t="s">
        <v>96</v>
      </c>
      <c r="B87" t="s">
        <v>342</v>
      </c>
    </row>
    <row r="88" spans="1:2" x14ac:dyDescent="0.25">
      <c r="A88" s="17" t="s">
        <v>44</v>
      </c>
      <c r="B88" t="s">
        <v>310</v>
      </c>
    </row>
    <row r="89" spans="1:2" x14ac:dyDescent="0.25">
      <c r="A89" s="17" t="s">
        <v>202</v>
      </c>
      <c r="B89" t="s">
        <v>339</v>
      </c>
    </row>
    <row r="90" spans="1:2" x14ac:dyDescent="0.25">
      <c r="A90" s="17" t="s">
        <v>205</v>
      </c>
      <c r="B90" t="s">
        <v>310</v>
      </c>
    </row>
    <row r="91" spans="1:2" x14ac:dyDescent="0.25">
      <c r="A91" s="17" t="s">
        <v>177</v>
      </c>
      <c r="B91" t="s">
        <v>338</v>
      </c>
    </row>
    <row r="92" spans="1:2" x14ac:dyDescent="0.25">
      <c r="A92" s="17" t="s">
        <v>177</v>
      </c>
      <c r="B92" t="s">
        <v>338</v>
      </c>
    </row>
    <row r="93" spans="1:2" x14ac:dyDescent="0.25">
      <c r="A93" s="17" t="s">
        <v>209</v>
      </c>
      <c r="B93" t="s">
        <v>342</v>
      </c>
    </row>
    <row r="94" spans="1:2" x14ac:dyDescent="0.25">
      <c r="A94" s="17" t="s">
        <v>211</v>
      </c>
      <c r="B94" t="s">
        <v>338</v>
      </c>
    </row>
    <row r="95" spans="1:2" x14ac:dyDescent="0.25">
      <c r="A95" s="17"/>
    </row>
    <row r="96" spans="1:2" x14ac:dyDescent="0.25">
      <c r="A96" s="17"/>
    </row>
    <row r="97" spans="1:2" x14ac:dyDescent="0.25">
      <c r="A97" s="17" t="s">
        <v>212</v>
      </c>
      <c r="B97" t="s">
        <v>338</v>
      </c>
    </row>
    <row r="98" spans="1:2" x14ac:dyDescent="0.25">
      <c r="A98" s="17" t="s">
        <v>212</v>
      </c>
      <c r="B98" t="s">
        <v>338</v>
      </c>
    </row>
    <row r="99" spans="1:2" x14ac:dyDescent="0.25">
      <c r="A99" s="17" t="s">
        <v>101</v>
      </c>
      <c r="B99" t="s">
        <v>342</v>
      </c>
    </row>
    <row r="100" spans="1:2" x14ac:dyDescent="0.25">
      <c r="A100" s="17" t="s">
        <v>101</v>
      </c>
      <c r="B100" t="s">
        <v>342</v>
      </c>
    </row>
    <row r="101" spans="1:2" x14ac:dyDescent="0.25">
      <c r="A101" s="17" t="s">
        <v>217</v>
      </c>
      <c r="B101" t="s">
        <v>342</v>
      </c>
    </row>
    <row r="102" spans="1:2" x14ac:dyDescent="0.25">
      <c r="A102" s="17" t="s">
        <v>192</v>
      </c>
      <c r="B102" t="s">
        <v>310</v>
      </c>
    </row>
    <row r="103" spans="1:2" x14ac:dyDescent="0.25">
      <c r="A103" s="17" t="s">
        <v>30</v>
      </c>
      <c r="B103" t="s">
        <v>342</v>
      </c>
    </row>
    <row r="104" spans="1:2" x14ac:dyDescent="0.25">
      <c r="A104" s="17" t="s">
        <v>173</v>
      </c>
      <c r="B104" t="s">
        <v>343</v>
      </c>
    </row>
    <row r="105" spans="1:2" x14ac:dyDescent="0.25">
      <c r="A105" s="17" t="s">
        <v>101</v>
      </c>
      <c r="B105" t="s">
        <v>342</v>
      </c>
    </row>
    <row r="106" spans="1:2" x14ac:dyDescent="0.25">
      <c r="A106" s="17" t="s">
        <v>30</v>
      </c>
      <c r="B106" t="s">
        <v>342</v>
      </c>
    </row>
    <row r="107" spans="1:2" x14ac:dyDescent="0.25">
      <c r="A107" s="17" t="s">
        <v>173</v>
      </c>
      <c r="B107" t="s">
        <v>343</v>
      </c>
    </row>
    <row r="108" spans="1:2" x14ac:dyDescent="0.25">
      <c r="A108" s="17" t="s">
        <v>221</v>
      </c>
      <c r="B108" t="s">
        <v>310</v>
      </c>
    </row>
    <row r="109" spans="1:2" x14ac:dyDescent="0.25">
      <c r="A109" s="17" t="s">
        <v>34</v>
      </c>
      <c r="B109" t="s">
        <v>338</v>
      </c>
    </row>
    <row r="110" spans="1:2" x14ac:dyDescent="0.25">
      <c r="A110" s="17" t="s">
        <v>226</v>
      </c>
      <c r="B110" t="s">
        <v>338</v>
      </c>
    </row>
    <row r="111" spans="1:2" x14ac:dyDescent="0.25">
      <c r="A111" s="17" t="s">
        <v>41</v>
      </c>
      <c r="B111" t="s">
        <v>342</v>
      </c>
    </row>
    <row r="112" spans="1:2" x14ac:dyDescent="0.25">
      <c r="A112" s="17" t="s">
        <v>44</v>
      </c>
      <c r="B112" t="s">
        <v>310</v>
      </c>
    </row>
    <row r="113" spans="1:2" x14ac:dyDescent="0.25">
      <c r="A113" s="17" t="s">
        <v>232</v>
      </c>
      <c r="B113" t="s">
        <v>342</v>
      </c>
    </row>
    <row r="114" spans="1:2" x14ac:dyDescent="0.25">
      <c r="A114" s="17" t="s">
        <v>41</v>
      </c>
      <c r="B114" t="s">
        <v>342</v>
      </c>
    </row>
    <row r="115" spans="1:2" x14ac:dyDescent="0.25">
      <c r="A115" s="17" t="s">
        <v>236</v>
      </c>
      <c r="B115" t="s">
        <v>339</v>
      </c>
    </row>
    <row r="116" spans="1:2" x14ac:dyDescent="0.25">
      <c r="A116" s="17" t="s">
        <v>54</v>
      </c>
      <c r="B116" t="s">
        <v>342</v>
      </c>
    </row>
    <row r="117" spans="1:2" x14ac:dyDescent="0.25">
      <c r="A117" s="17" t="s">
        <v>243</v>
      </c>
      <c r="B117" t="s">
        <v>339</v>
      </c>
    </row>
    <row r="118" spans="1:2" x14ac:dyDescent="0.25">
      <c r="A118" s="17" t="s">
        <v>62</v>
      </c>
      <c r="B118" t="s">
        <v>342</v>
      </c>
    </row>
    <row r="119" spans="1:2" x14ac:dyDescent="0.25">
      <c r="A119" s="17" t="s">
        <v>62</v>
      </c>
      <c r="B119" t="s">
        <v>342</v>
      </c>
    </row>
    <row r="120" spans="1:2" x14ac:dyDescent="0.25">
      <c r="A120" s="17" t="s">
        <v>136</v>
      </c>
      <c r="B120" t="s">
        <v>183</v>
      </c>
    </row>
    <row r="121" spans="1:2" x14ac:dyDescent="0.25">
      <c r="A121" s="17" t="s">
        <v>249</v>
      </c>
      <c r="B121" t="s">
        <v>342</v>
      </c>
    </row>
    <row r="122" spans="1:2" x14ac:dyDescent="0.25">
      <c r="A122" s="17" t="s">
        <v>173</v>
      </c>
      <c r="B122" t="s">
        <v>343</v>
      </c>
    </row>
    <row r="123" spans="1:2" x14ac:dyDescent="0.25">
      <c r="A123" s="17" t="s">
        <v>127</v>
      </c>
      <c r="B123" t="s">
        <v>343</v>
      </c>
    </row>
    <row r="124" spans="1:2" x14ac:dyDescent="0.25">
      <c r="A124" s="17" t="s">
        <v>252</v>
      </c>
      <c r="B124" t="s">
        <v>342</v>
      </c>
    </row>
    <row r="125" spans="1:2" x14ac:dyDescent="0.25">
      <c r="A125" s="17" t="s">
        <v>62</v>
      </c>
      <c r="B125" t="s">
        <v>342</v>
      </c>
    </row>
    <row r="126" spans="1:2" x14ac:dyDescent="0.25">
      <c r="A126" s="17" t="s">
        <v>226</v>
      </c>
      <c r="B126" t="s">
        <v>338</v>
      </c>
    </row>
    <row r="127" spans="1:2" x14ac:dyDescent="0.25">
      <c r="A127" s="17" t="s">
        <v>192</v>
      </c>
      <c r="B127" t="s">
        <v>310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7DEDB-BEB7-48CE-A6C5-699C055C6984}">
  <dimension ref="A1:B127"/>
  <sheetViews>
    <sheetView topLeftCell="A95" workbookViewId="0">
      <selection activeCell="B2" sqref="B2:B127"/>
    </sheetView>
  </sheetViews>
  <sheetFormatPr defaultRowHeight="15" x14ac:dyDescent="0.25"/>
  <cols>
    <col min="1" max="1" width="16.7109375" bestFit="1" customWidth="1"/>
    <col min="2" max="2" width="9.5703125" bestFit="1" customWidth="1"/>
  </cols>
  <sheetData>
    <row r="1" spans="1:2" x14ac:dyDescent="0.25">
      <c r="A1" t="s">
        <v>0</v>
      </c>
      <c r="B1" t="s">
        <v>346</v>
      </c>
    </row>
    <row r="2" spans="1:2" x14ac:dyDescent="0.25">
      <c r="A2" s="17" t="s">
        <v>11</v>
      </c>
      <c r="B2" t="s">
        <v>347</v>
      </c>
    </row>
    <row r="3" spans="1:2" x14ac:dyDescent="0.25">
      <c r="A3" s="17" t="s">
        <v>15</v>
      </c>
      <c r="B3" t="s">
        <v>347</v>
      </c>
    </row>
    <row r="4" spans="1:2" x14ac:dyDescent="0.25">
      <c r="A4" s="17" t="s">
        <v>18</v>
      </c>
      <c r="B4" t="s">
        <v>347</v>
      </c>
    </row>
    <row r="5" spans="1:2" x14ac:dyDescent="0.25">
      <c r="A5" s="17" t="s">
        <v>21</v>
      </c>
      <c r="B5" t="s">
        <v>348</v>
      </c>
    </row>
    <row r="6" spans="1:2" x14ac:dyDescent="0.25">
      <c r="A6" s="17" t="s">
        <v>25</v>
      </c>
      <c r="B6" t="s">
        <v>348</v>
      </c>
    </row>
    <row r="7" spans="1:2" x14ac:dyDescent="0.25">
      <c r="A7" s="17" t="s">
        <v>27</v>
      </c>
      <c r="B7" t="s">
        <v>276</v>
      </c>
    </row>
    <row r="8" spans="1:2" x14ac:dyDescent="0.25">
      <c r="A8" s="17" t="s">
        <v>29</v>
      </c>
      <c r="B8" t="s">
        <v>347</v>
      </c>
    </row>
    <row r="9" spans="1:2" x14ac:dyDescent="0.25">
      <c r="A9" s="17" t="s">
        <v>33</v>
      </c>
      <c r="B9" t="s">
        <v>347</v>
      </c>
    </row>
    <row r="10" spans="1:2" x14ac:dyDescent="0.25">
      <c r="A10" s="17" t="s">
        <v>36</v>
      </c>
      <c r="B10" t="s">
        <v>276</v>
      </c>
    </row>
    <row r="11" spans="1:2" x14ac:dyDescent="0.25">
      <c r="A11" s="17" t="s">
        <v>36</v>
      </c>
      <c r="B11" t="s">
        <v>276</v>
      </c>
    </row>
    <row r="12" spans="1:2" x14ac:dyDescent="0.25">
      <c r="A12" s="17" t="s">
        <v>36</v>
      </c>
      <c r="B12" t="s">
        <v>276</v>
      </c>
    </row>
    <row r="13" spans="1:2" x14ac:dyDescent="0.25">
      <c r="A13" s="17" t="s">
        <v>36</v>
      </c>
      <c r="B13" t="s">
        <v>276</v>
      </c>
    </row>
    <row r="14" spans="1:2" x14ac:dyDescent="0.25">
      <c r="A14" s="17" t="s">
        <v>43</v>
      </c>
      <c r="B14" t="s">
        <v>347</v>
      </c>
    </row>
    <row r="15" spans="1:2" x14ac:dyDescent="0.25">
      <c r="A15" s="17" t="s">
        <v>60</v>
      </c>
      <c r="B15" t="s">
        <v>347</v>
      </c>
    </row>
    <row r="16" spans="1:2" x14ac:dyDescent="0.25">
      <c r="A16" s="17" t="s">
        <v>56</v>
      </c>
      <c r="B16" t="s">
        <v>348</v>
      </c>
    </row>
    <row r="17" spans="1:2" x14ac:dyDescent="0.25">
      <c r="A17" s="17" t="s">
        <v>49</v>
      </c>
      <c r="B17" t="s">
        <v>347</v>
      </c>
    </row>
    <row r="18" spans="1:2" x14ac:dyDescent="0.25">
      <c r="A18" s="17" t="s">
        <v>49</v>
      </c>
      <c r="B18" t="s">
        <v>347</v>
      </c>
    </row>
    <row r="19" spans="1:2" x14ac:dyDescent="0.25">
      <c r="A19" s="17" t="s">
        <v>53</v>
      </c>
      <c r="B19" t="s">
        <v>347</v>
      </c>
    </row>
    <row r="20" spans="1:2" x14ac:dyDescent="0.25">
      <c r="A20" s="17" t="s">
        <v>29</v>
      </c>
      <c r="B20" t="s">
        <v>347</v>
      </c>
    </row>
    <row r="21" spans="1:2" x14ac:dyDescent="0.25">
      <c r="A21" s="17" t="s">
        <v>38</v>
      </c>
      <c r="B21" t="s">
        <v>276</v>
      </c>
    </row>
    <row r="22" spans="1:2" x14ac:dyDescent="0.25">
      <c r="A22" s="17" t="s">
        <v>29</v>
      </c>
      <c r="B22" t="s">
        <v>347</v>
      </c>
    </row>
    <row r="23" spans="1:2" x14ac:dyDescent="0.25">
      <c r="A23" s="17" t="s">
        <v>29</v>
      </c>
      <c r="B23" t="s">
        <v>347</v>
      </c>
    </row>
    <row r="24" spans="1:2" x14ac:dyDescent="0.25">
      <c r="A24" s="17" t="s">
        <v>29</v>
      </c>
      <c r="B24" t="s">
        <v>347</v>
      </c>
    </row>
    <row r="25" spans="1:2" x14ac:dyDescent="0.25">
      <c r="A25" s="17" t="s">
        <v>100</v>
      </c>
      <c r="B25" t="s">
        <v>348</v>
      </c>
    </row>
    <row r="26" spans="1:2" x14ac:dyDescent="0.25">
      <c r="A26" s="17" t="s">
        <v>64</v>
      </c>
      <c r="B26" t="s">
        <v>347</v>
      </c>
    </row>
    <row r="27" spans="1:2" x14ac:dyDescent="0.25">
      <c r="A27" s="17" t="s">
        <v>27</v>
      </c>
      <c r="B27" t="s">
        <v>276</v>
      </c>
    </row>
    <row r="28" spans="1:2" x14ac:dyDescent="0.25">
      <c r="A28" s="17" t="s">
        <v>27</v>
      </c>
      <c r="B28" t="s">
        <v>276</v>
      </c>
    </row>
    <row r="29" spans="1:2" x14ac:dyDescent="0.25">
      <c r="A29" s="17" t="s">
        <v>77</v>
      </c>
      <c r="B29" t="s">
        <v>276</v>
      </c>
    </row>
    <row r="30" spans="1:2" x14ac:dyDescent="0.25">
      <c r="A30" s="17" t="s">
        <v>77</v>
      </c>
      <c r="B30" t="s">
        <v>276</v>
      </c>
    </row>
    <row r="31" spans="1:2" x14ac:dyDescent="0.25">
      <c r="A31" s="17" t="s">
        <v>77</v>
      </c>
      <c r="B31" t="s">
        <v>276</v>
      </c>
    </row>
    <row r="32" spans="1:2" x14ac:dyDescent="0.25">
      <c r="A32" s="17" t="s">
        <v>77</v>
      </c>
      <c r="B32" t="s">
        <v>276</v>
      </c>
    </row>
    <row r="33" spans="1:2" x14ac:dyDescent="0.25">
      <c r="A33" s="17" t="s">
        <v>135</v>
      </c>
      <c r="B33" t="s">
        <v>348</v>
      </c>
    </row>
    <row r="34" spans="1:2" x14ac:dyDescent="0.25">
      <c r="A34" s="17" t="s">
        <v>138</v>
      </c>
      <c r="B34" t="s">
        <v>347</v>
      </c>
    </row>
    <row r="35" spans="1:2" x14ac:dyDescent="0.25">
      <c r="A35" s="17" t="s">
        <v>98</v>
      </c>
      <c r="B35" t="s">
        <v>347</v>
      </c>
    </row>
    <row r="36" spans="1:2" x14ac:dyDescent="0.25">
      <c r="A36" s="17" t="s">
        <v>66</v>
      </c>
      <c r="B36" t="s">
        <v>348</v>
      </c>
    </row>
    <row r="37" spans="1:2" x14ac:dyDescent="0.25">
      <c r="A37" s="17" t="s">
        <v>74</v>
      </c>
      <c r="B37" t="s">
        <v>348</v>
      </c>
    </row>
    <row r="38" spans="1:2" x14ac:dyDescent="0.25">
      <c r="A38" s="17" t="s">
        <v>89</v>
      </c>
      <c r="B38" t="s">
        <v>348</v>
      </c>
    </row>
    <row r="39" spans="1:2" x14ac:dyDescent="0.25">
      <c r="A39" s="17" t="s">
        <v>93</v>
      </c>
      <c r="B39" t="s">
        <v>347</v>
      </c>
    </row>
    <row r="40" spans="1:2" x14ac:dyDescent="0.25">
      <c r="A40" s="17" t="s">
        <v>133</v>
      </c>
      <c r="B40" t="s">
        <v>347</v>
      </c>
    </row>
    <row r="41" spans="1:2" x14ac:dyDescent="0.25">
      <c r="A41" s="17" t="s">
        <v>68</v>
      </c>
      <c r="B41" t="s">
        <v>347</v>
      </c>
    </row>
    <row r="42" spans="1:2" x14ac:dyDescent="0.25">
      <c r="A42" s="17" t="s">
        <v>70</v>
      </c>
      <c r="B42" t="s">
        <v>347</v>
      </c>
    </row>
    <row r="43" spans="1:2" x14ac:dyDescent="0.25">
      <c r="A43" s="17" t="s">
        <v>70</v>
      </c>
      <c r="B43" t="s">
        <v>347</v>
      </c>
    </row>
    <row r="44" spans="1:2" x14ac:dyDescent="0.25">
      <c r="A44" s="17" t="s">
        <v>29</v>
      </c>
      <c r="B44" t="s">
        <v>347</v>
      </c>
    </row>
    <row r="45" spans="1:2" x14ac:dyDescent="0.25">
      <c r="A45" s="17" t="s">
        <v>83</v>
      </c>
      <c r="B45" t="s">
        <v>348</v>
      </c>
    </row>
    <row r="46" spans="1:2" x14ac:dyDescent="0.25">
      <c r="A46" s="17" t="s">
        <v>86</v>
      </c>
      <c r="B46" t="s">
        <v>348</v>
      </c>
    </row>
    <row r="47" spans="1:2" x14ac:dyDescent="0.25">
      <c r="A47" s="17" t="s">
        <v>91</v>
      </c>
      <c r="B47" t="s">
        <v>347</v>
      </c>
    </row>
    <row r="48" spans="1:2" x14ac:dyDescent="0.25">
      <c r="A48" s="17" t="s">
        <v>95</v>
      </c>
      <c r="B48" t="s">
        <v>348</v>
      </c>
    </row>
    <row r="49" spans="1:2" x14ac:dyDescent="0.25">
      <c r="A49" s="17" t="s">
        <v>102</v>
      </c>
      <c r="B49" t="s">
        <v>348</v>
      </c>
    </row>
    <row r="50" spans="1:2" x14ac:dyDescent="0.25">
      <c r="A50" s="17" t="s">
        <v>103</v>
      </c>
      <c r="B50" t="s">
        <v>347</v>
      </c>
    </row>
    <row r="51" spans="1:2" x14ac:dyDescent="0.25">
      <c r="A51" s="17" t="s">
        <v>130</v>
      </c>
      <c r="B51" t="s">
        <v>347</v>
      </c>
    </row>
    <row r="52" spans="1:2" x14ac:dyDescent="0.25">
      <c r="A52" s="17" t="s">
        <v>110</v>
      </c>
      <c r="B52" t="s">
        <v>347</v>
      </c>
    </row>
    <row r="53" spans="1:2" x14ac:dyDescent="0.25">
      <c r="A53" s="17" t="s">
        <v>111</v>
      </c>
      <c r="B53" t="s">
        <v>348</v>
      </c>
    </row>
    <row r="54" spans="1:2" x14ac:dyDescent="0.25">
      <c r="A54" s="17" t="s">
        <v>113</v>
      </c>
      <c r="B54" t="s">
        <v>347</v>
      </c>
    </row>
    <row r="55" spans="1:2" x14ac:dyDescent="0.25">
      <c r="A55" s="17" t="s">
        <v>116</v>
      </c>
      <c r="B55" t="s">
        <v>276</v>
      </c>
    </row>
    <row r="56" spans="1:2" x14ac:dyDescent="0.25">
      <c r="A56" s="17" t="s">
        <v>120</v>
      </c>
      <c r="B56" t="s">
        <v>347</v>
      </c>
    </row>
    <row r="57" spans="1:2" x14ac:dyDescent="0.25">
      <c r="A57" s="17" t="s">
        <v>120</v>
      </c>
      <c r="B57" t="s">
        <v>347</v>
      </c>
    </row>
    <row r="58" spans="1:2" x14ac:dyDescent="0.25">
      <c r="A58" s="17" t="s">
        <v>123</v>
      </c>
      <c r="B58" t="s">
        <v>348</v>
      </c>
    </row>
    <row r="59" spans="1:2" x14ac:dyDescent="0.25">
      <c r="A59" s="17" t="s">
        <v>123</v>
      </c>
      <c r="B59" t="s">
        <v>348</v>
      </c>
    </row>
    <row r="60" spans="1:2" x14ac:dyDescent="0.25">
      <c r="A60" s="17" t="s">
        <v>126</v>
      </c>
      <c r="B60" t="s">
        <v>347</v>
      </c>
    </row>
    <row r="61" spans="1:2" x14ac:dyDescent="0.25">
      <c r="A61" s="17" t="s">
        <v>105</v>
      </c>
      <c r="B61" t="s">
        <v>347</v>
      </c>
    </row>
    <row r="62" spans="1:2" x14ac:dyDescent="0.25">
      <c r="A62" s="17" t="s">
        <v>108</v>
      </c>
      <c r="B62" t="s">
        <v>347</v>
      </c>
    </row>
    <row r="63" spans="1:2" x14ac:dyDescent="0.25">
      <c r="A63" s="17" t="s">
        <v>118</v>
      </c>
      <c r="B63" t="s">
        <v>347</v>
      </c>
    </row>
    <row r="64" spans="1:2" x14ac:dyDescent="0.25">
      <c r="A64" s="17" t="s">
        <v>125</v>
      </c>
      <c r="B64" t="s">
        <v>348</v>
      </c>
    </row>
    <row r="65" spans="1:2" x14ac:dyDescent="0.25">
      <c r="A65" s="17" t="s">
        <v>128</v>
      </c>
      <c r="B65" t="s">
        <v>347</v>
      </c>
    </row>
    <row r="66" spans="1:2" x14ac:dyDescent="0.25">
      <c r="A66" s="17" t="s">
        <v>161</v>
      </c>
      <c r="B66" t="s">
        <v>347</v>
      </c>
    </row>
    <row r="67" spans="1:2" x14ac:dyDescent="0.25">
      <c r="A67" s="17" t="s">
        <v>161</v>
      </c>
      <c r="B67" t="s">
        <v>347</v>
      </c>
    </row>
    <row r="68" spans="1:2" x14ac:dyDescent="0.25">
      <c r="A68" s="17" t="s">
        <v>163</v>
      </c>
      <c r="B68" t="s">
        <v>347</v>
      </c>
    </row>
    <row r="69" spans="1:2" x14ac:dyDescent="0.25">
      <c r="A69" s="17" t="s">
        <v>170</v>
      </c>
      <c r="B69" t="s">
        <v>347</v>
      </c>
    </row>
    <row r="70" spans="1:2" x14ac:dyDescent="0.25">
      <c r="A70" s="17" t="s">
        <v>77</v>
      </c>
      <c r="B70" t="s">
        <v>276</v>
      </c>
    </row>
    <row r="71" spans="1:2" x14ac:dyDescent="0.25">
      <c r="A71" s="17" t="s">
        <v>36</v>
      </c>
      <c r="B71" t="s">
        <v>276</v>
      </c>
    </row>
    <row r="72" spans="1:2" x14ac:dyDescent="0.25">
      <c r="A72" s="17" t="s">
        <v>36</v>
      </c>
      <c r="B72" t="s">
        <v>276</v>
      </c>
    </row>
    <row r="73" spans="1:2" x14ac:dyDescent="0.25">
      <c r="A73" s="17" t="s">
        <v>175</v>
      </c>
      <c r="B73" t="s">
        <v>348</v>
      </c>
    </row>
    <row r="74" spans="1:2" x14ac:dyDescent="0.25">
      <c r="A74" s="17" t="s">
        <v>176</v>
      </c>
      <c r="B74" t="s">
        <v>347</v>
      </c>
    </row>
    <row r="75" spans="1:2" x14ac:dyDescent="0.25">
      <c r="A75" s="17" t="s">
        <v>27</v>
      </c>
      <c r="B75" t="s">
        <v>276</v>
      </c>
    </row>
    <row r="76" spans="1:2" x14ac:dyDescent="0.25">
      <c r="A76" s="17" t="s">
        <v>27</v>
      </c>
      <c r="B76" t="s">
        <v>276</v>
      </c>
    </row>
    <row r="77" spans="1:2" x14ac:dyDescent="0.25">
      <c r="A77" s="17" t="s">
        <v>27</v>
      </c>
      <c r="B77" t="s">
        <v>276</v>
      </c>
    </row>
    <row r="78" spans="1:2" x14ac:dyDescent="0.25">
      <c r="A78" s="17" t="s">
        <v>77</v>
      </c>
      <c r="B78" t="s">
        <v>276</v>
      </c>
    </row>
    <row r="79" spans="1:2" x14ac:dyDescent="0.25">
      <c r="A79" s="17" t="s">
        <v>181</v>
      </c>
      <c r="B79" t="s">
        <v>347</v>
      </c>
    </row>
    <row r="80" spans="1:2" x14ac:dyDescent="0.25">
      <c r="A80" s="17" t="s">
        <v>181</v>
      </c>
      <c r="B80" t="s">
        <v>347</v>
      </c>
    </row>
    <row r="81" spans="1:2" x14ac:dyDescent="0.25">
      <c r="A81" s="17" t="s">
        <v>181</v>
      </c>
      <c r="B81" t="s">
        <v>347</v>
      </c>
    </row>
    <row r="82" spans="1:2" x14ac:dyDescent="0.25">
      <c r="A82" s="17" t="s">
        <v>181</v>
      </c>
      <c r="B82" t="s">
        <v>347</v>
      </c>
    </row>
    <row r="83" spans="1:2" x14ac:dyDescent="0.25">
      <c r="A83" s="17" t="s">
        <v>189</v>
      </c>
      <c r="B83" t="s">
        <v>347</v>
      </c>
    </row>
    <row r="84" spans="1:2" x14ac:dyDescent="0.25">
      <c r="A84" s="17" t="s">
        <v>27</v>
      </c>
      <c r="B84" t="s">
        <v>276</v>
      </c>
    </row>
    <row r="85" spans="1:2" x14ac:dyDescent="0.25">
      <c r="A85" s="17" t="s">
        <v>27</v>
      </c>
      <c r="B85" t="s">
        <v>276</v>
      </c>
    </row>
    <row r="86" spans="1:2" x14ac:dyDescent="0.25">
      <c r="A86" s="17" t="s">
        <v>27</v>
      </c>
      <c r="B86" t="s">
        <v>276</v>
      </c>
    </row>
    <row r="87" spans="1:2" x14ac:dyDescent="0.25">
      <c r="A87" s="17" t="s">
        <v>196</v>
      </c>
      <c r="B87" t="s">
        <v>347</v>
      </c>
    </row>
    <row r="88" spans="1:2" x14ac:dyDescent="0.25">
      <c r="A88" s="17" t="s">
        <v>200</v>
      </c>
      <c r="B88" t="s">
        <v>347</v>
      </c>
    </row>
    <row r="89" spans="1:2" x14ac:dyDescent="0.25">
      <c r="A89" s="17" t="s">
        <v>201</v>
      </c>
      <c r="B89" t="s">
        <v>347</v>
      </c>
    </row>
    <row r="90" spans="1:2" x14ac:dyDescent="0.25">
      <c r="A90" s="17" t="s">
        <v>204</v>
      </c>
      <c r="B90" t="s">
        <v>347</v>
      </c>
    </row>
    <row r="91" spans="1:2" x14ac:dyDescent="0.25">
      <c r="A91" s="17" t="s">
        <v>27</v>
      </c>
      <c r="B91" t="s">
        <v>276</v>
      </c>
    </row>
    <row r="92" spans="1:2" x14ac:dyDescent="0.25">
      <c r="A92" s="17" t="s">
        <v>27</v>
      </c>
      <c r="B92" t="s">
        <v>276</v>
      </c>
    </row>
    <row r="93" spans="1:2" x14ac:dyDescent="0.25">
      <c r="A93" s="17" t="s">
        <v>77</v>
      </c>
      <c r="B93" t="s">
        <v>276</v>
      </c>
    </row>
    <row r="94" spans="1:2" x14ac:dyDescent="0.25">
      <c r="A94" s="17" t="s">
        <v>210</v>
      </c>
      <c r="B94" t="s">
        <v>348</v>
      </c>
    </row>
    <row r="95" spans="1:2" x14ac:dyDescent="0.25">
      <c r="A95" s="17" t="s">
        <v>27</v>
      </c>
      <c r="B95" t="s">
        <v>276</v>
      </c>
    </row>
    <row r="96" spans="1:2" x14ac:dyDescent="0.25">
      <c r="A96" s="17" t="s">
        <v>27</v>
      </c>
      <c r="B96" t="s">
        <v>276</v>
      </c>
    </row>
    <row r="97" spans="1:2" x14ac:dyDescent="0.25">
      <c r="A97" s="17" t="s">
        <v>123</v>
      </c>
      <c r="B97" t="s">
        <v>348</v>
      </c>
    </row>
    <row r="98" spans="1:2" x14ac:dyDescent="0.25">
      <c r="A98" s="17" t="s">
        <v>123</v>
      </c>
      <c r="B98" t="s">
        <v>348</v>
      </c>
    </row>
    <row r="99" spans="1:2" x14ac:dyDescent="0.25">
      <c r="A99" s="17" t="s">
        <v>213</v>
      </c>
      <c r="B99" t="s">
        <v>276</v>
      </c>
    </row>
    <row r="100" spans="1:2" x14ac:dyDescent="0.25">
      <c r="A100" s="17" t="s">
        <v>213</v>
      </c>
      <c r="B100" t="s">
        <v>276</v>
      </c>
    </row>
    <row r="101" spans="1:2" x14ac:dyDescent="0.25">
      <c r="A101" s="17" t="s">
        <v>214</v>
      </c>
      <c r="B101" t="s">
        <v>347</v>
      </c>
    </row>
    <row r="102" spans="1:2" x14ac:dyDescent="0.25">
      <c r="A102" s="17" t="s">
        <v>47</v>
      </c>
      <c r="B102" t="s">
        <v>276</v>
      </c>
    </row>
    <row r="103" spans="1:2" x14ac:dyDescent="0.25">
      <c r="A103" s="17" t="s">
        <v>216</v>
      </c>
      <c r="B103" t="s">
        <v>276</v>
      </c>
    </row>
    <row r="104" spans="1:2" x14ac:dyDescent="0.25">
      <c r="A104" s="17" t="s">
        <v>77</v>
      </c>
      <c r="B104" t="s">
        <v>276</v>
      </c>
    </row>
    <row r="105" spans="1:2" x14ac:dyDescent="0.25">
      <c r="A105" s="17" t="s">
        <v>218</v>
      </c>
      <c r="B105" t="s">
        <v>347</v>
      </c>
    </row>
    <row r="106" spans="1:2" x14ac:dyDescent="0.25">
      <c r="A106" s="17" t="s">
        <v>219</v>
      </c>
      <c r="B106" t="s">
        <v>348</v>
      </c>
    </row>
    <row r="107" spans="1:2" x14ac:dyDescent="0.25">
      <c r="A107" s="17" t="s">
        <v>77</v>
      </c>
      <c r="B107" t="s">
        <v>276</v>
      </c>
    </row>
    <row r="108" spans="1:2" x14ac:dyDescent="0.25">
      <c r="A108" s="17" t="s">
        <v>77</v>
      </c>
      <c r="B108" t="s">
        <v>276</v>
      </c>
    </row>
    <row r="109" spans="1:2" x14ac:dyDescent="0.25">
      <c r="A109" s="17" t="s">
        <v>223</v>
      </c>
      <c r="B109" t="s">
        <v>348</v>
      </c>
    </row>
    <row r="110" spans="1:2" x14ac:dyDescent="0.25">
      <c r="A110" s="17" t="s">
        <v>123</v>
      </c>
      <c r="B110" t="s">
        <v>348</v>
      </c>
    </row>
    <row r="111" spans="1:2" x14ac:dyDescent="0.25">
      <c r="A111" s="17" t="s">
        <v>36</v>
      </c>
      <c r="B111" t="s">
        <v>276</v>
      </c>
    </row>
    <row r="112" spans="1:2" x14ac:dyDescent="0.25">
      <c r="A112" s="17" t="s">
        <v>229</v>
      </c>
      <c r="B112" t="s">
        <v>347</v>
      </c>
    </row>
    <row r="113" spans="1:2" x14ac:dyDescent="0.25">
      <c r="A113" s="17" t="s">
        <v>231</v>
      </c>
      <c r="B113" t="s">
        <v>347</v>
      </c>
    </row>
    <row r="114" spans="1:2" x14ac:dyDescent="0.25">
      <c r="A114" s="17" t="s">
        <v>36</v>
      </c>
      <c r="B114" t="s">
        <v>276</v>
      </c>
    </row>
    <row r="115" spans="1:2" x14ac:dyDescent="0.25">
      <c r="A115" s="17" t="s">
        <v>235</v>
      </c>
      <c r="B115" t="s">
        <v>348</v>
      </c>
    </row>
    <row r="116" spans="1:2" x14ac:dyDescent="0.25">
      <c r="A116" s="17" t="s">
        <v>239</v>
      </c>
      <c r="B116" t="s">
        <v>347</v>
      </c>
    </row>
    <row r="117" spans="1:2" x14ac:dyDescent="0.25">
      <c r="A117" s="17" t="s">
        <v>242</v>
      </c>
      <c r="B117" t="s">
        <v>347</v>
      </c>
    </row>
    <row r="118" spans="1:2" x14ac:dyDescent="0.25">
      <c r="A118" s="17" t="s">
        <v>244</v>
      </c>
      <c r="B118" t="s">
        <v>347</v>
      </c>
    </row>
    <row r="119" spans="1:2" x14ac:dyDescent="0.25">
      <c r="A119" s="17" t="s">
        <v>245</v>
      </c>
      <c r="B119" t="s">
        <v>347</v>
      </c>
    </row>
    <row r="120" spans="1:2" x14ac:dyDescent="0.25">
      <c r="A120" s="17" t="s">
        <v>246</v>
      </c>
      <c r="B120" t="s">
        <v>347</v>
      </c>
    </row>
    <row r="121" spans="1:2" x14ac:dyDescent="0.25">
      <c r="A121" s="17" t="s">
        <v>248</v>
      </c>
      <c r="B121" t="s">
        <v>348</v>
      </c>
    </row>
    <row r="122" spans="1:2" x14ac:dyDescent="0.25">
      <c r="A122" s="17" t="s">
        <v>77</v>
      </c>
      <c r="B122" t="s">
        <v>276</v>
      </c>
    </row>
    <row r="123" spans="1:2" x14ac:dyDescent="0.25">
      <c r="A123" s="17" t="s">
        <v>250</v>
      </c>
      <c r="B123" t="s">
        <v>347</v>
      </c>
    </row>
    <row r="124" spans="1:2" x14ac:dyDescent="0.25">
      <c r="A124" s="17" t="s">
        <v>251</v>
      </c>
      <c r="B124" t="s">
        <v>348</v>
      </c>
    </row>
    <row r="125" spans="1:2" x14ac:dyDescent="0.25">
      <c r="A125" s="17" t="s">
        <v>253</v>
      </c>
      <c r="B125" t="s">
        <v>348</v>
      </c>
    </row>
    <row r="126" spans="1:2" x14ac:dyDescent="0.25">
      <c r="A126" s="17" t="s">
        <v>255</v>
      </c>
      <c r="B126" t="s">
        <v>347</v>
      </c>
    </row>
    <row r="127" spans="1:2" x14ac:dyDescent="0.25">
      <c r="A127" s="17" t="s">
        <v>47</v>
      </c>
      <c r="B127" t="s">
        <v>276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40"/>
  <sheetViews>
    <sheetView rightToLeft="1" zoomScale="90" zoomScaleNormal="90" workbookViewId="0">
      <selection activeCell="Q2" sqref="Q2"/>
    </sheetView>
  </sheetViews>
  <sheetFormatPr defaultColWidth="8.85546875" defaultRowHeight="15" x14ac:dyDescent="0.25"/>
  <cols>
    <col min="1" max="2" width="12.28515625" style="1" customWidth="1"/>
    <col min="3" max="3" width="11" style="1" bestFit="1" customWidth="1"/>
    <col min="4" max="4" width="10.42578125" style="1" bestFit="1" customWidth="1"/>
    <col min="5" max="5" width="31" style="1" bestFit="1" customWidth="1"/>
    <col min="6" max="6" width="12" style="1" bestFit="1" customWidth="1"/>
    <col min="7" max="7" width="18.42578125" style="1" customWidth="1"/>
    <col min="8" max="8" width="12.5703125" style="1" customWidth="1"/>
    <col min="9" max="9" width="14.140625" style="1" customWidth="1"/>
    <col min="10" max="10" width="18.28515625" style="1" customWidth="1"/>
    <col min="11" max="11" width="12.7109375" style="1" bestFit="1" customWidth="1"/>
    <col min="12" max="12" width="37.28515625" style="1" bestFit="1" customWidth="1"/>
    <col min="13" max="13" width="17.5703125" style="1" customWidth="1"/>
    <col min="14" max="16" width="18" style="4" customWidth="1"/>
    <col min="17" max="17" width="18" style="22" customWidth="1"/>
    <col min="18" max="18" width="14.85546875" style="19" customWidth="1"/>
    <col min="19" max="19" width="17.140625" style="19" customWidth="1"/>
    <col min="20" max="20" width="11.85546875" style="19" customWidth="1"/>
    <col min="21" max="21" width="33" style="1" customWidth="1"/>
    <col min="22" max="22" width="24.5703125" style="16" bestFit="1" customWidth="1"/>
    <col min="23" max="16384" width="8.85546875" style="1"/>
  </cols>
  <sheetData>
    <row r="1" spans="1:23" ht="20.100000000000001" customHeight="1" x14ac:dyDescent="0.25">
      <c r="A1" t="s">
        <v>0</v>
      </c>
      <c r="B1" t="s">
        <v>308</v>
      </c>
      <c r="C1" t="s">
        <v>345</v>
      </c>
      <c r="D1" t="s">
        <v>337</v>
      </c>
      <c r="E1" t="s">
        <v>1</v>
      </c>
      <c r="F1" t="s">
        <v>5</v>
      </c>
      <c r="G1" t="s">
        <v>270</v>
      </c>
      <c r="H1" t="s">
        <v>271</v>
      </c>
      <c r="I1" t="s">
        <v>156</v>
      </c>
      <c r="J1" t="s">
        <v>157</v>
      </c>
      <c r="K1" t="s">
        <v>335</v>
      </c>
      <c r="L1" t="s">
        <v>2</v>
      </c>
      <c r="M1" t="s">
        <v>7</v>
      </c>
      <c r="N1" t="s">
        <v>309</v>
      </c>
      <c r="O1" t="s">
        <v>8</v>
      </c>
      <c r="P1" t="s">
        <v>319</v>
      </c>
      <c r="Q1" t="s">
        <v>312</v>
      </c>
      <c r="R1" s="20" t="s">
        <v>311</v>
      </c>
      <c r="S1" s="18" t="s">
        <v>10</v>
      </c>
      <c r="T1" s="18" t="s">
        <v>9</v>
      </c>
      <c r="U1" s="18" t="s">
        <v>3</v>
      </c>
      <c r="V1" t="s">
        <v>4</v>
      </c>
      <c r="W1" t="s">
        <v>168</v>
      </c>
    </row>
    <row r="2" spans="1:23" ht="20.100000000000001" customHeight="1" x14ac:dyDescent="0.25">
      <c r="A2" t="s">
        <v>11</v>
      </c>
      <c r="B2" t="s">
        <v>274</v>
      </c>
      <c r="C2" t="s">
        <v>347</v>
      </c>
      <c r="D2" t="s">
        <v>338</v>
      </c>
      <c r="E2" t="s">
        <v>12</v>
      </c>
      <c r="F2" t="s">
        <v>6</v>
      </c>
      <c r="G2" t="s">
        <v>141</v>
      </c>
      <c r="H2" t="s">
        <v>142</v>
      </c>
      <c r="I2"/>
      <c r="J2" t="s">
        <v>327</v>
      </c>
      <c r="K2" t="s">
        <v>326</v>
      </c>
      <c r="L2" t="s">
        <v>13</v>
      </c>
      <c r="M2">
        <v>10160</v>
      </c>
      <c r="N2" t="str">
        <f>IF(ISNUMBER(Table1[[#This Row],[طريقه الدفع ]]), "كاش",Table1[[#This Row],[طريقه الدفع ]])</f>
        <v>مسبق الدفع</v>
      </c>
      <c r="O2" t="s">
        <v>14</v>
      </c>
      <c r="P2">
        <f>IF(OR(Table1[[#This Row],[مدة التسليم (الفعلية)]]=0,Table1[[#This Row],[مدة التسليم (المفترضة)]]=0),0,IF(Table1[[#This Row],[مدة التسليم (الفعلية)]]&gt;Table1[[#This Row],[مدة التسليم (المفترضة)]],"تأخير","قبل الموعد"))</f>
        <v>0</v>
      </c>
      <c r="Q2">
        <f>IF(OR(ISBLANK(Table1[[#This Row],[تاريخ التسليم]]),ISBLANK(Table1[[#This Row],[ميعاد الطلب]])),0,Table1[[#This Row],[تاريخ التسليم]]-Table1[[#This Row],[ميعاد الطلب]])</f>
        <v>14</v>
      </c>
      <c r="R2" s="20">
        <f>IF(OR(ISBLANK(Table1[[#This Row],[ميعاد التسليم]]),ISBLANK(Table1[[#This Row],[ميعاد الطلب]])),0,Table1[[#This Row],[ميعاد التسليم]]-Table1[[#This Row],[ميعاد الطلب]])</f>
        <v>0</v>
      </c>
      <c r="S2" s="18">
        <f>DATE(2024,7,27)</f>
        <v>45500</v>
      </c>
      <c r="T2" s="18"/>
      <c r="U2" s="18">
        <v>45514</v>
      </c>
      <c r="V2" t="s">
        <v>24</v>
      </c>
      <c r="W2" t="s">
        <v>171</v>
      </c>
    </row>
    <row r="3" spans="1:23" ht="20.100000000000001" customHeight="1" x14ac:dyDescent="0.25">
      <c r="A3" t="s">
        <v>15</v>
      </c>
      <c r="B3" t="s">
        <v>274</v>
      </c>
      <c r="C3" t="s">
        <v>347</v>
      </c>
      <c r="D3" t="s">
        <v>339</v>
      </c>
      <c r="E3" t="s">
        <v>16</v>
      </c>
      <c r="F3" t="s">
        <v>6</v>
      </c>
      <c r="G3" t="s">
        <v>141</v>
      </c>
      <c r="H3" t="s">
        <v>142</v>
      </c>
      <c r="I3"/>
      <c r="J3" t="s">
        <v>327</v>
      </c>
      <c r="K3" t="s">
        <v>328</v>
      </c>
      <c r="L3" t="s">
        <v>17</v>
      </c>
      <c r="M3">
        <v>10160</v>
      </c>
      <c r="N3" t="str">
        <f>IF(ISNUMBER(Table1[[#This Row],[طريقه الدفع ]]), "كاش",Table1[[#This Row],[طريقه الدفع ]])</f>
        <v>كاش</v>
      </c>
      <c r="O3">
        <v>9749</v>
      </c>
      <c r="P3">
        <f>IF(OR(Table1[[#This Row],[مدة التسليم (الفعلية)]]=0,Table1[[#This Row],[مدة التسليم (المفترضة)]]=0),0,IF(Table1[[#This Row],[مدة التسليم (الفعلية)]]&gt;Table1[[#This Row],[مدة التسليم (المفترضة)]],"تأخير","قبل الموعد"))</f>
        <v>0</v>
      </c>
      <c r="Q3">
        <f>IF(OR(ISBLANK(Table1[[#This Row],[تاريخ التسليم]]),ISBLANK(Table1[[#This Row],[ميعاد الطلب]])),0,Table1[[#This Row],[تاريخ التسليم]]-Table1[[#This Row],[ميعاد الطلب]])</f>
        <v>14</v>
      </c>
      <c r="R3" s="20">
        <f>IF(OR(ISBLANK(Table1[[#This Row],[ميعاد التسليم]]),ISBLANK(Table1[[#This Row],[ميعاد الطلب]])),0,Table1[[#This Row],[ميعاد التسليم]]-Table1[[#This Row],[ميعاد الطلب]])</f>
        <v>0</v>
      </c>
      <c r="S3" s="18">
        <f>DATE(2024,7,28)</f>
        <v>45501</v>
      </c>
      <c r="T3" s="18"/>
      <c r="U3" s="18">
        <v>45515</v>
      </c>
      <c r="V3" t="s">
        <v>24</v>
      </c>
      <c r="W3" t="s">
        <v>171</v>
      </c>
    </row>
    <row r="4" spans="1:23" ht="20.100000000000001" customHeight="1" x14ac:dyDescent="0.25">
      <c r="A4" t="s">
        <v>18</v>
      </c>
      <c r="B4" t="s">
        <v>274</v>
      </c>
      <c r="C4" t="s">
        <v>347</v>
      </c>
      <c r="D4" t="s">
        <v>340</v>
      </c>
      <c r="E4" t="s">
        <v>19</v>
      </c>
      <c r="F4" t="s">
        <v>6</v>
      </c>
      <c r="G4" t="s">
        <v>141</v>
      </c>
      <c r="H4" t="s">
        <v>153</v>
      </c>
      <c r="I4" t="s">
        <v>146</v>
      </c>
      <c r="J4">
        <v>90</v>
      </c>
      <c r="K4" t="s">
        <v>329</v>
      </c>
      <c r="L4" t="s">
        <v>20</v>
      </c>
      <c r="M4">
        <v>11455</v>
      </c>
      <c r="N4" t="str">
        <f>IF(ISNUMBER(Table1[[#This Row],[طريقه الدفع ]]), "كاش",Table1[[#This Row],[طريقه الدفع ]])</f>
        <v>كاش</v>
      </c>
      <c r="O4">
        <v>10067.68</v>
      </c>
      <c r="P4">
        <f>IF(OR(Table1[[#This Row],[مدة التسليم (الفعلية)]]=0,Table1[[#This Row],[مدة التسليم (المفترضة)]]=0),0,IF(Table1[[#This Row],[مدة التسليم (الفعلية)]]&gt;Table1[[#This Row],[مدة التسليم (المفترضة)]],"تأخير","قبل الموعد"))</f>
        <v>0</v>
      </c>
      <c r="Q4">
        <f>IF(OR(ISBLANK(Table1[[#This Row],[تاريخ التسليم]]),ISBLANK(Table1[[#This Row],[ميعاد الطلب]])),0,Table1[[#This Row],[تاريخ التسليم]]-Table1[[#This Row],[ميعاد الطلب]])</f>
        <v>0</v>
      </c>
      <c r="R4" s="20">
        <f>IF(OR(ISBLANK(Table1[[#This Row],[ميعاد التسليم]]),ISBLANK(Table1[[#This Row],[ميعاد الطلب]])),0,Table1[[#This Row],[ميعاد التسليم]]-Table1[[#This Row],[ميعاد الطلب]])</f>
        <v>0</v>
      </c>
      <c r="S4" s="18">
        <f>DATE(2024,7,27)</f>
        <v>45500</v>
      </c>
      <c r="T4" s="18"/>
      <c r="U4" s="18"/>
      <c r="V4" t="s">
        <v>32</v>
      </c>
      <c r="W4" t="s">
        <v>169</v>
      </c>
    </row>
    <row r="5" spans="1:23" ht="20.100000000000001" customHeight="1" x14ac:dyDescent="0.25">
      <c r="A5" t="s">
        <v>21</v>
      </c>
      <c r="B5" t="s">
        <v>274</v>
      </c>
      <c r="C5" t="s">
        <v>348</v>
      </c>
      <c r="D5" t="s">
        <v>341</v>
      </c>
      <c r="E5" t="s">
        <v>22</v>
      </c>
      <c r="F5" t="s">
        <v>6</v>
      </c>
      <c r="G5" t="s">
        <v>237</v>
      </c>
      <c r="H5"/>
      <c r="I5"/>
      <c r="J5" t="s">
        <v>327</v>
      </c>
      <c r="K5" t="s">
        <v>330</v>
      </c>
      <c r="L5" t="s">
        <v>23</v>
      </c>
      <c r="M5">
        <v>8642</v>
      </c>
      <c r="N5" t="str">
        <f>IF(ISNUMBER(Table1[[#This Row],[طريقه الدفع ]]), "كاش",Table1[[#This Row],[طريقه الدفع ]])</f>
        <v>مسبق الدفع</v>
      </c>
      <c r="O5" t="s">
        <v>14</v>
      </c>
      <c r="P5"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5">
        <f>IF(OR(ISBLANK(Table1[[#This Row],[تاريخ التسليم]]),ISBLANK(Table1[[#This Row],[ميعاد الطلب]])),0,Table1[[#This Row],[تاريخ التسليم]]-Table1[[#This Row],[ميعاد الطلب]])</f>
        <v>2</v>
      </c>
      <c r="R5" s="20">
        <f>IF(OR(ISBLANK(Table1[[#This Row],[ميعاد التسليم]]),ISBLANK(Table1[[#This Row],[ميعاد الطلب]])),0,Table1[[#This Row],[ميعاد التسليم]]-Table1[[#This Row],[ميعاد الطلب]])</f>
        <v>13</v>
      </c>
      <c r="S5" s="18">
        <v>45529</v>
      </c>
      <c r="T5" s="18">
        <v>45542</v>
      </c>
      <c r="U5" s="18">
        <v>45531</v>
      </c>
      <c r="V5" t="s">
        <v>24</v>
      </c>
      <c r="W5" t="s">
        <v>171</v>
      </c>
    </row>
    <row r="6" spans="1:23" ht="20.100000000000001" customHeight="1" x14ac:dyDescent="0.25">
      <c r="A6" t="s">
        <v>25</v>
      </c>
      <c r="B6" t="s">
        <v>274</v>
      </c>
      <c r="C6" t="s">
        <v>348</v>
      </c>
      <c r="D6" t="s">
        <v>340</v>
      </c>
      <c r="E6" t="s">
        <v>19</v>
      </c>
      <c r="F6" t="s">
        <v>6</v>
      </c>
      <c r="G6" t="s">
        <v>141</v>
      </c>
      <c r="H6" t="s">
        <v>153</v>
      </c>
      <c r="I6" t="s">
        <v>143</v>
      </c>
      <c r="J6" t="s">
        <v>327</v>
      </c>
      <c r="K6" t="s">
        <v>331</v>
      </c>
      <c r="L6" t="s">
        <v>26</v>
      </c>
      <c r="M6">
        <v>12833</v>
      </c>
      <c r="N6" t="str">
        <f>IF(ISNUMBER(Table1[[#This Row],[طريقه الدفع ]]), "كاش",Table1[[#This Row],[طريقه الدفع ]])</f>
        <v>كاش</v>
      </c>
      <c r="O6">
        <v>12974.22</v>
      </c>
      <c r="P6">
        <f>IF(OR(Table1[[#This Row],[مدة التسليم (الفعلية)]]=0,Table1[[#This Row],[مدة التسليم (المفترضة)]]=0),0,IF(Table1[[#This Row],[مدة التسليم (الفعلية)]]&gt;Table1[[#This Row],[مدة التسليم (المفترضة)]],"تأخير","قبل الموعد"))</f>
        <v>0</v>
      </c>
      <c r="Q6">
        <f>IF(OR(ISBLANK(Table1[[#This Row],[تاريخ التسليم]]),ISBLANK(Table1[[#This Row],[ميعاد الطلب]])),0,Table1[[#This Row],[تاريخ التسليم]]-Table1[[#This Row],[ميعاد الطلب]])</f>
        <v>0</v>
      </c>
      <c r="R6" s="20">
        <f>IF(OR(ISBLANK(Table1[[#This Row],[ميعاد التسليم]]),ISBLANK(Table1[[#This Row],[ميعاد الطلب]])),0,Table1[[#This Row],[ميعاد التسليم]]-Table1[[#This Row],[ميعاد الطلب]])</f>
        <v>15</v>
      </c>
      <c r="S6" s="18">
        <v>45520</v>
      </c>
      <c r="T6" s="18">
        <v>45535</v>
      </c>
      <c r="U6" s="18"/>
      <c r="V6" t="s">
        <v>32</v>
      </c>
      <c r="W6" t="s">
        <v>169</v>
      </c>
    </row>
    <row r="7" spans="1:23" ht="20.100000000000001" customHeight="1" x14ac:dyDescent="0.25">
      <c r="A7" t="s">
        <v>27</v>
      </c>
      <c r="B7" t="s">
        <v>276</v>
      </c>
      <c r="C7" t="s">
        <v>276</v>
      </c>
      <c r="D7"/>
      <c r="E7"/>
      <c r="F7" t="s">
        <v>47</v>
      </c>
      <c r="G7" t="s">
        <v>141</v>
      </c>
      <c r="H7" t="s">
        <v>152</v>
      </c>
      <c r="I7"/>
      <c r="J7" t="s">
        <v>327</v>
      </c>
      <c r="K7" t="s">
        <v>331</v>
      </c>
      <c r="L7" t="s">
        <v>28</v>
      </c>
      <c r="M7">
        <v>14550</v>
      </c>
      <c r="N7" t="str">
        <f>IF(ISNUMBER(Table1[[#This Row],[طريقه الدفع ]]), "كاش",Table1[[#This Row],[طريقه الدفع ]])</f>
        <v>مسبق الدفع</v>
      </c>
      <c r="O7" t="s">
        <v>14</v>
      </c>
      <c r="P7" t="str">
        <f>IF(OR(Table1[[#This Row],[مدة التسليم (الفعلية)]]=0,Table1[[#This Row],[مدة التسليم (المفترضة)]]=0),0,IF(Table1[[#This Row],[مدة التسليم (الفعلية)]]&gt;Table1[[#This Row],[مدة التسليم (المفترضة)]],"تأخير","قبل الموعد"))</f>
        <v>تأخير</v>
      </c>
      <c r="Q7">
        <f>IF(OR(ISBLANK(Table1[[#This Row],[تاريخ التسليم]]),ISBLANK(Table1[[#This Row],[ميعاد الطلب]])),0,Table1[[#This Row],[تاريخ التسليم]]-Table1[[#This Row],[ميعاد الطلب]])</f>
        <v>22</v>
      </c>
      <c r="R7" s="20">
        <f>IF(OR(ISBLANK(Table1[[#This Row],[ميعاد التسليم]]),ISBLANK(Table1[[#This Row],[ميعاد الطلب]])),0,Table1[[#This Row],[ميعاد التسليم]]-Table1[[#This Row],[ميعاد الطلب]])</f>
        <v>20</v>
      </c>
      <c r="S7" s="18">
        <v>45518</v>
      </c>
      <c r="T7" s="18">
        <v>45538</v>
      </c>
      <c r="U7" s="18">
        <v>45540</v>
      </c>
      <c r="V7" t="s">
        <v>24</v>
      </c>
      <c r="W7" t="s">
        <v>171</v>
      </c>
    </row>
    <row r="8" spans="1:23" ht="20.100000000000001" customHeight="1" x14ac:dyDescent="0.25">
      <c r="A8" t="s">
        <v>29</v>
      </c>
      <c r="B8" t="s">
        <v>274</v>
      </c>
      <c r="C8" t="s">
        <v>347</v>
      </c>
      <c r="D8" t="s">
        <v>342</v>
      </c>
      <c r="E8" t="s">
        <v>30</v>
      </c>
      <c r="F8" t="s">
        <v>31</v>
      </c>
      <c r="G8" t="s">
        <v>141</v>
      </c>
      <c r="H8" t="s">
        <v>152</v>
      </c>
      <c r="I8"/>
      <c r="J8" t="s">
        <v>327</v>
      </c>
      <c r="K8" t="s">
        <v>331</v>
      </c>
      <c r="L8" t="s">
        <v>28</v>
      </c>
      <c r="M8">
        <v>12000</v>
      </c>
      <c r="N8" t="str">
        <f>IF(ISNUMBER(Table1[[#This Row],[طريقه الدفع ]]), "كاش",Table1[[#This Row],[طريقه الدفع ]])</f>
        <v>كاش</v>
      </c>
      <c r="O8">
        <v>12000</v>
      </c>
      <c r="P8"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8">
        <f>IF(OR(ISBLANK(Table1[[#This Row],[تاريخ التسليم]]),ISBLANK(Table1[[#This Row],[ميعاد الطلب]])),0,Table1[[#This Row],[تاريخ التسليم]]-Table1[[#This Row],[ميعاد الطلب]])</f>
        <v>2</v>
      </c>
      <c r="R8" s="20">
        <f>IF(OR(ISBLANK(Table1[[#This Row],[ميعاد التسليم]]),ISBLANK(Table1[[#This Row],[ميعاد الطلب]])),0,Table1[[#This Row],[ميعاد التسليم]]-Table1[[#This Row],[ميعاد الطلب]])</f>
        <v>3</v>
      </c>
      <c r="S8" s="18">
        <v>45521</v>
      </c>
      <c r="T8" s="18">
        <v>45524</v>
      </c>
      <c r="U8" s="18">
        <v>45523</v>
      </c>
      <c r="V8" t="s">
        <v>24</v>
      </c>
      <c r="W8" t="s">
        <v>171</v>
      </c>
    </row>
    <row r="9" spans="1:23" ht="20.100000000000001" customHeight="1" x14ac:dyDescent="0.25">
      <c r="A9" t="s">
        <v>33</v>
      </c>
      <c r="B9" t="s">
        <v>274</v>
      </c>
      <c r="C9" t="s">
        <v>347</v>
      </c>
      <c r="D9" t="s">
        <v>338</v>
      </c>
      <c r="E9" t="s">
        <v>34</v>
      </c>
      <c r="F9" t="s">
        <v>6</v>
      </c>
      <c r="G9" t="s">
        <v>141</v>
      </c>
      <c r="H9" t="s">
        <v>144</v>
      </c>
      <c r="I9"/>
      <c r="J9" t="s">
        <v>327</v>
      </c>
      <c r="K9" t="s">
        <v>326</v>
      </c>
      <c r="L9" t="s">
        <v>35</v>
      </c>
      <c r="M9">
        <v>7228</v>
      </c>
      <c r="N9" t="str">
        <f>IF(ISNUMBER(Table1[[#This Row],[طريقه الدفع ]]), "كاش",Table1[[#This Row],[طريقه الدفع ]])</f>
        <v>مسبق الدفع</v>
      </c>
      <c r="O9" t="s">
        <v>14</v>
      </c>
      <c r="P9" t="str">
        <f>IF(OR(Table1[[#This Row],[مدة التسليم (الفعلية)]]=0,Table1[[#This Row],[مدة التسليم (المفترضة)]]=0),0,IF(Table1[[#This Row],[مدة التسليم (الفعلية)]]&gt;Table1[[#This Row],[مدة التسليم (المفترضة)]],"تأخير","قبل الموعد"))</f>
        <v>تأخير</v>
      </c>
      <c r="Q9">
        <f>IF(OR(ISBLANK(Table1[[#This Row],[تاريخ التسليم]]),ISBLANK(Table1[[#This Row],[ميعاد الطلب]])),0,Table1[[#This Row],[تاريخ التسليم]]-Table1[[#This Row],[ميعاد الطلب]])</f>
        <v>16</v>
      </c>
      <c r="R9" s="20">
        <f>IF(OR(ISBLANK(Table1[[#This Row],[ميعاد التسليم]]),ISBLANK(Table1[[#This Row],[ميعاد الطلب]])),0,Table1[[#This Row],[ميعاد التسليم]]-Table1[[#This Row],[ميعاد الطلب]])</f>
        <v>9</v>
      </c>
      <c r="S9" s="18">
        <v>45529</v>
      </c>
      <c r="T9" s="18">
        <v>45538</v>
      </c>
      <c r="U9" s="18">
        <v>45545</v>
      </c>
      <c r="V9" t="s">
        <v>24</v>
      </c>
      <c r="W9" t="s">
        <v>171</v>
      </c>
    </row>
    <row r="10" spans="1:23" ht="20.100000000000001" customHeight="1" x14ac:dyDescent="0.25">
      <c r="A10" t="s">
        <v>36</v>
      </c>
      <c r="B10" t="s">
        <v>276</v>
      </c>
      <c r="C10" t="s">
        <v>276</v>
      </c>
      <c r="D10" t="s">
        <v>342</v>
      </c>
      <c r="E10" t="s">
        <v>37</v>
      </c>
      <c r="F10" t="s">
        <v>38</v>
      </c>
      <c r="G10" t="s">
        <v>332</v>
      </c>
      <c r="H10" t="s">
        <v>149</v>
      </c>
      <c r="I10"/>
      <c r="J10" t="s">
        <v>327</v>
      </c>
      <c r="K10" t="s">
        <v>330</v>
      </c>
      <c r="L10" t="s">
        <v>39</v>
      </c>
      <c r="M10">
        <v>22000</v>
      </c>
      <c r="N10" t="str">
        <f>IF(ISNUMBER(Table1[[#This Row],[طريقه الدفع ]]), "كاش",Table1[[#This Row],[طريقه الدفع ]])</f>
        <v>كاش</v>
      </c>
      <c r="O10">
        <v>22000</v>
      </c>
      <c r="P10" t="str">
        <f>IF(OR(Table1[[#This Row],[مدة التسليم (الفعلية)]]=0,Table1[[#This Row],[مدة التسليم (المفترضة)]]=0),0,IF(Table1[[#This Row],[مدة التسليم (الفعلية)]]&gt;Table1[[#This Row],[مدة التسليم (المفترضة)]],"تأخير","قبل الموعد"))</f>
        <v>تأخير</v>
      </c>
      <c r="Q10">
        <f>IF(OR(ISBLANK(Table1[[#This Row],[تاريخ التسليم]]),ISBLANK(Table1[[#This Row],[ميعاد الطلب]])),0,Table1[[#This Row],[تاريخ التسليم]]-Table1[[#This Row],[ميعاد الطلب]])</f>
        <v>29</v>
      </c>
      <c r="R10" s="20">
        <f>IF(OR(ISBLANK(Table1[[#This Row],[ميعاد التسليم]]),ISBLANK(Table1[[#This Row],[ميعاد الطلب]])),0,Table1[[#This Row],[ميعاد التسليم]]-Table1[[#This Row],[ميعاد الطلب]])</f>
        <v>13</v>
      </c>
      <c r="S10" s="18">
        <v>45523</v>
      </c>
      <c r="T10" s="18">
        <v>45536</v>
      </c>
      <c r="U10" s="18">
        <v>45552</v>
      </c>
      <c r="V10" t="s">
        <v>320</v>
      </c>
      <c r="W10" t="s">
        <v>171</v>
      </c>
    </row>
    <row r="11" spans="1:23" ht="20.100000000000001" customHeight="1" x14ac:dyDescent="0.25">
      <c r="A11" t="s">
        <v>36</v>
      </c>
      <c r="B11" t="s">
        <v>276</v>
      </c>
      <c r="C11" t="s">
        <v>276</v>
      </c>
      <c r="D11" t="s">
        <v>342</v>
      </c>
      <c r="E11" t="s">
        <v>37</v>
      </c>
      <c r="F11" t="s">
        <v>38</v>
      </c>
      <c r="G11" t="s">
        <v>150</v>
      </c>
      <c r="H11" t="s">
        <v>148</v>
      </c>
      <c r="I11"/>
      <c r="J11" t="s">
        <v>327</v>
      </c>
      <c r="K11" t="s">
        <v>330</v>
      </c>
      <c r="L11" t="s">
        <v>40</v>
      </c>
      <c r="M11">
        <v>16000</v>
      </c>
      <c r="N11" t="str">
        <f>IF(ISNUMBER(Table1[[#This Row],[طريقه الدفع ]]), "كاش",Table1[[#This Row],[طريقه الدفع ]])</f>
        <v>كاش</v>
      </c>
      <c r="O11">
        <v>16000</v>
      </c>
      <c r="P11">
        <f>IF(OR(Table1[[#This Row],[مدة التسليم (الفعلية)]]=0,Table1[[#This Row],[مدة التسليم (المفترضة)]]=0),0,IF(Table1[[#This Row],[مدة التسليم (الفعلية)]]&gt;Table1[[#This Row],[مدة التسليم (المفترضة)]],"تأخير","قبل الموعد"))</f>
        <v>0</v>
      </c>
      <c r="Q11">
        <f>IF(OR(ISBLANK(Table1[[#This Row],[تاريخ التسليم]]),ISBLANK(Table1[[#This Row],[ميعاد الطلب]])),0,Table1[[#This Row],[تاريخ التسليم]]-Table1[[#This Row],[ميعاد الطلب]])</f>
        <v>0</v>
      </c>
      <c r="R11" s="20">
        <f>IF(OR(ISBLANK(Table1[[#This Row],[ميعاد التسليم]]),ISBLANK(Table1[[#This Row],[ميعاد الطلب]])),0,Table1[[#This Row],[ميعاد التسليم]]-Table1[[#This Row],[ميعاد الطلب]])</f>
        <v>0</v>
      </c>
      <c r="S11" s="18"/>
      <c r="T11" s="18"/>
      <c r="U11" s="18"/>
      <c r="V11" t="s">
        <v>320</v>
      </c>
      <c r="W11" t="s">
        <v>191</v>
      </c>
    </row>
    <row r="12" spans="1:23" ht="20.100000000000001" customHeight="1" x14ac:dyDescent="0.25">
      <c r="A12" t="s">
        <v>36</v>
      </c>
      <c r="B12" t="s">
        <v>276</v>
      </c>
      <c r="C12" t="s">
        <v>276</v>
      </c>
      <c r="D12" t="s">
        <v>342</v>
      </c>
      <c r="E12" t="s">
        <v>41</v>
      </c>
      <c r="F12" t="s">
        <v>38</v>
      </c>
      <c r="G12" t="s">
        <v>150</v>
      </c>
      <c r="H12" t="s">
        <v>148</v>
      </c>
      <c r="I12"/>
      <c r="J12" t="s">
        <v>327</v>
      </c>
      <c r="K12" t="s">
        <v>330</v>
      </c>
      <c r="L12" t="s">
        <v>42</v>
      </c>
      <c r="M12">
        <v>6000</v>
      </c>
      <c r="N12" t="str">
        <f>IF(ISNUMBER(Table1[[#This Row],[طريقه الدفع ]]), "كاش",Table1[[#This Row],[طريقه الدفع ]])</f>
        <v>كاش</v>
      </c>
      <c r="O12">
        <v>12000</v>
      </c>
      <c r="P12" t="str">
        <f>IF(OR(Table1[[#This Row],[مدة التسليم (الفعلية)]]=0,Table1[[#This Row],[مدة التسليم (المفترضة)]]=0),0,IF(Table1[[#This Row],[مدة التسليم (الفعلية)]]&gt;Table1[[#This Row],[مدة التسليم (المفترضة)]],"تأخير","قبل الموعد"))</f>
        <v>تأخير</v>
      </c>
      <c r="Q12">
        <f>IF(OR(ISBLANK(Table1[[#This Row],[تاريخ التسليم]]),ISBLANK(Table1[[#This Row],[ميعاد الطلب]])),0,Table1[[#This Row],[تاريخ التسليم]]-Table1[[#This Row],[ميعاد الطلب]])</f>
        <v>23</v>
      </c>
      <c r="R12" s="20">
        <f>IF(OR(ISBLANK(Table1[[#This Row],[ميعاد التسليم]]),ISBLANK(Table1[[#This Row],[ميعاد الطلب]])),0,Table1[[#This Row],[ميعاد التسليم]]-Table1[[#This Row],[ميعاد الطلب]])</f>
        <v>21</v>
      </c>
      <c r="S12" s="18">
        <v>45529</v>
      </c>
      <c r="T12" s="18">
        <v>45550</v>
      </c>
      <c r="U12" s="18">
        <v>45552</v>
      </c>
      <c r="V12" t="s">
        <v>172</v>
      </c>
      <c r="W12" t="s">
        <v>171</v>
      </c>
    </row>
    <row r="13" spans="1:23" ht="20.100000000000001" customHeight="1" x14ac:dyDescent="0.25">
      <c r="A13" t="s">
        <v>36</v>
      </c>
      <c r="B13" t="s">
        <v>276</v>
      </c>
      <c r="C13" t="s">
        <v>276</v>
      </c>
      <c r="D13" t="s">
        <v>342</v>
      </c>
      <c r="E13" t="s">
        <v>41</v>
      </c>
      <c r="F13" t="s">
        <v>38</v>
      </c>
      <c r="G13" t="s">
        <v>150</v>
      </c>
      <c r="H13" t="s">
        <v>148</v>
      </c>
      <c r="I13"/>
      <c r="J13" t="s">
        <v>327</v>
      </c>
      <c r="K13" t="s">
        <v>330</v>
      </c>
      <c r="L13" t="s">
        <v>42</v>
      </c>
      <c r="M13">
        <v>6000</v>
      </c>
      <c r="N13" t="str">
        <f>IF(ISNUMBER(Table1[[#This Row],[طريقه الدفع ]]), "كاش",Table1[[#This Row],[طريقه الدفع ]])</f>
        <v>كاش</v>
      </c>
      <c r="O13">
        <v>12000</v>
      </c>
      <c r="P13" t="str">
        <f>IF(OR(Table1[[#This Row],[مدة التسليم (الفعلية)]]=0,Table1[[#This Row],[مدة التسليم (المفترضة)]]=0),0,IF(Table1[[#This Row],[مدة التسليم (الفعلية)]]&gt;Table1[[#This Row],[مدة التسليم (المفترضة)]],"تأخير","قبل الموعد"))</f>
        <v>تأخير</v>
      </c>
      <c r="Q13">
        <f>IF(OR(ISBLANK(Table1[[#This Row],[تاريخ التسليم]]),ISBLANK(Table1[[#This Row],[ميعاد الطلب]])),0,Table1[[#This Row],[تاريخ التسليم]]-Table1[[#This Row],[ميعاد الطلب]])</f>
        <v>23</v>
      </c>
      <c r="R13" s="20">
        <f>IF(OR(ISBLANK(Table1[[#This Row],[ميعاد التسليم]]),ISBLANK(Table1[[#This Row],[ميعاد الطلب]])),0,Table1[[#This Row],[ميعاد التسليم]]-Table1[[#This Row],[ميعاد الطلب]])</f>
        <v>21</v>
      </c>
      <c r="S13" s="18">
        <v>45529</v>
      </c>
      <c r="T13" s="18">
        <v>45550</v>
      </c>
      <c r="U13" s="18">
        <v>45552</v>
      </c>
      <c r="V13" t="s">
        <v>172</v>
      </c>
      <c r="W13" t="s">
        <v>171</v>
      </c>
    </row>
    <row r="14" spans="1:23" ht="20.100000000000001" customHeight="1" x14ac:dyDescent="0.25">
      <c r="A14" t="s">
        <v>43</v>
      </c>
      <c r="B14" t="s">
        <v>274</v>
      </c>
      <c r="C14" t="s">
        <v>347</v>
      </c>
      <c r="D14" t="s">
        <v>310</v>
      </c>
      <c r="E14" t="s">
        <v>44</v>
      </c>
      <c r="F14" t="s">
        <v>6</v>
      </c>
      <c r="G14" t="s">
        <v>141</v>
      </c>
      <c r="H14" t="s">
        <v>153</v>
      </c>
      <c r="I14" t="s">
        <v>143</v>
      </c>
      <c r="J14">
        <v>80</v>
      </c>
      <c r="K14" t="s">
        <v>326</v>
      </c>
      <c r="L14" t="s">
        <v>45</v>
      </c>
      <c r="M14">
        <v>10499</v>
      </c>
      <c r="N14" t="str">
        <f>IF(ISNUMBER(Table1[[#This Row],[طريقه الدفع ]]), "كاش",Table1[[#This Row],[طريقه الدفع ]])</f>
        <v>كاش</v>
      </c>
      <c r="O14">
        <v>8924</v>
      </c>
      <c r="P14"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4">
        <f>IF(OR(ISBLANK(Table1[[#This Row],[تاريخ التسليم]]),ISBLANK(Table1[[#This Row],[ميعاد الطلب]])),0,Table1[[#This Row],[تاريخ التسليم]]-Table1[[#This Row],[ميعاد الطلب]])</f>
        <v>7</v>
      </c>
      <c r="R14" s="20">
        <f>IF(OR(ISBLANK(Table1[[#This Row],[ميعاد التسليم]]),ISBLANK(Table1[[#This Row],[ميعاد الطلب]])),0,Table1[[#This Row],[ميعاد التسليم]]-Table1[[#This Row],[ميعاد الطلب]])</f>
        <v>15</v>
      </c>
      <c r="S14" s="18">
        <v>45536</v>
      </c>
      <c r="T14" s="18">
        <v>45551</v>
      </c>
      <c r="U14" s="18">
        <v>45543</v>
      </c>
      <c r="V14" t="s">
        <v>24</v>
      </c>
      <c r="W14" t="s">
        <v>171</v>
      </c>
    </row>
    <row r="15" spans="1:23" ht="20.100000000000001" customHeight="1" x14ac:dyDescent="0.25">
      <c r="A15" t="s">
        <v>60</v>
      </c>
      <c r="B15" t="s">
        <v>274</v>
      </c>
      <c r="C15" t="s">
        <v>347</v>
      </c>
      <c r="D15" t="s">
        <v>338</v>
      </c>
      <c r="E15" t="s">
        <v>34</v>
      </c>
      <c r="F15" t="s">
        <v>6</v>
      </c>
      <c r="G15" t="s">
        <v>141</v>
      </c>
      <c r="H15" t="s">
        <v>144</v>
      </c>
      <c r="I15" t="s">
        <v>143</v>
      </c>
      <c r="J15">
        <v>80</v>
      </c>
      <c r="K15" t="s">
        <v>326</v>
      </c>
      <c r="L15" t="s">
        <v>61</v>
      </c>
      <c r="M15">
        <v>7295</v>
      </c>
      <c r="N15" t="str">
        <f>IF(ISNUMBER(Table1[[#This Row],[طريقه الدفع ]]), "كاش",Table1[[#This Row],[طريقه الدفع ]])</f>
        <v>كاش</v>
      </c>
      <c r="O15">
        <v>5895</v>
      </c>
      <c r="P15">
        <f>IF(OR(Table1[[#This Row],[مدة التسليم (الفعلية)]]=0,Table1[[#This Row],[مدة التسليم (المفترضة)]]=0),0,IF(Table1[[#This Row],[مدة التسليم (الفعلية)]]&gt;Table1[[#This Row],[مدة التسليم (المفترضة)]],"تأخير","قبل الموعد"))</f>
        <v>0</v>
      </c>
      <c r="Q15">
        <f>IF(OR(ISBLANK(Table1[[#This Row],[تاريخ التسليم]]),ISBLANK(Table1[[#This Row],[ميعاد الطلب]])),0,Table1[[#This Row],[تاريخ التسليم]]-Table1[[#This Row],[ميعاد الطلب]])</f>
        <v>0</v>
      </c>
      <c r="R15" s="20">
        <f>IF(OR(ISBLANK(Table1[[#This Row],[ميعاد التسليم]]),ISBLANK(Table1[[#This Row],[ميعاد الطلب]])),0,Table1[[#This Row],[ميعاد التسليم]]-Table1[[#This Row],[ميعاد الطلب]])</f>
        <v>9</v>
      </c>
      <c r="S15" s="18">
        <v>45540</v>
      </c>
      <c r="T15" s="18">
        <v>45549</v>
      </c>
      <c r="U15" s="18"/>
      <c r="V15" t="s">
        <v>320</v>
      </c>
      <c r="W15" t="s">
        <v>191</v>
      </c>
    </row>
    <row r="16" spans="1:23" ht="20.100000000000001" customHeight="1" x14ac:dyDescent="0.25">
      <c r="A16" t="s">
        <v>56</v>
      </c>
      <c r="B16" t="s">
        <v>274</v>
      </c>
      <c r="C16" t="s">
        <v>348</v>
      </c>
      <c r="D16" t="s">
        <v>310</v>
      </c>
      <c r="E16" t="s">
        <v>57</v>
      </c>
      <c r="F16" t="s">
        <v>6</v>
      </c>
      <c r="G16" t="s">
        <v>237</v>
      </c>
      <c r="H16" t="s">
        <v>165</v>
      </c>
      <c r="I16"/>
      <c r="J16" t="s">
        <v>327</v>
      </c>
      <c r="K16" t="s">
        <v>330</v>
      </c>
      <c r="L16" t="s">
        <v>58</v>
      </c>
      <c r="M16">
        <v>7849</v>
      </c>
      <c r="N16" t="str">
        <f>IF(ISNUMBER(Table1[[#This Row],[طريقه الدفع ]]), "كاش",Table1[[#This Row],[طريقه الدفع ]])</f>
        <v>مسبق الدفع</v>
      </c>
      <c r="O16" t="s">
        <v>14</v>
      </c>
      <c r="P16" t="str">
        <f>IF(OR(Table1[[#This Row],[مدة التسليم (الفعلية)]]=0,Table1[[#This Row],[مدة التسليم (المفترضة)]]=0),0,IF(Table1[[#This Row],[مدة التسليم (الفعلية)]]&gt;Table1[[#This Row],[مدة التسليم (المفترضة)]],"تأخير","قبل الموعد"))</f>
        <v>تأخير</v>
      </c>
      <c r="Q16">
        <f>IF(OR(ISBLANK(Table1[[#This Row],[تاريخ التسليم]]),ISBLANK(Table1[[#This Row],[ميعاد الطلب]])),0,Table1[[#This Row],[تاريخ التسليم]]-Table1[[#This Row],[ميعاد الطلب]])</f>
        <v>21</v>
      </c>
      <c r="R16" s="20">
        <f>IF(OR(ISBLANK(Table1[[#This Row],[ميعاد التسليم]]),ISBLANK(Table1[[#This Row],[ميعاد الطلب]])),0,Table1[[#This Row],[ميعاد التسليم]]-Table1[[#This Row],[ميعاد الطلب]])</f>
        <v>12</v>
      </c>
      <c r="S16" s="18">
        <v>45539</v>
      </c>
      <c r="T16" s="18">
        <v>45551</v>
      </c>
      <c r="U16" s="18">
        <v>45560</v>
      </c>
      <c r="V16" t="s">
        <v>24</v>
      </c>
      <c r="W16" t="s">
        <v>180</v>
      </c>
    </row>
    <row r="17" spans="1:23" ht="20.100000000000001" customHeight="1" x14ac:dyDescent="0.25">
      <c r="A17" t="s">
        <v>49</v>
      </c>
      <c r="B17" t="s">
        <v>274</v>
      </c>
      <c r="C17" t="s">
        <v>347</v>
      </c>
      <c r="D17" t="s">
        <v>342</v>
      </c>
      <c r="E17" t="s">
        <v>50</v>
      </c>
      <c r="F17" t="s">
        <v>51</v>
      </c>
      <c r="G17" t="s">
        <v>141</v>
      </c>
      <c r="H17" t="s">
        <v>153</v>
      </c>
      <c r="I17" t="s">
        <v>146</v>
      </c>
      <c r="J17">
        <v>120</v>
      </c>
      <c r="K17" t="s">
        <v>328</v>
      </c>
      <c r="L17" t="s">
        <v>52</v>
      </c>
      <c r="M17">
        <v>6180</v>
      </c>
      <c r="N17" t="str">
        <f>IF(ISNUMBER(Table1[[#This Row],[طريقه الدفع ]]), "كاش",Table1[[#This Row],[طريقه الدفع ]])</f>
        <v>كاش</v>
      </c>
      <c r="O17">
        <v>9700</v>
      </c>
      <c r="P17"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7">
        <f>IF(OR(ISBLANK(Table1[[#This Row],[تاريخ التسليم]]),ISBLANK(Table1[[#This Row],[ميعاد الطلب]])),0,Table1[[#This Row],[تاريخ التسليم]]-Table1[[#This Row],[ميعاد الطلب]])</f>
        <v>12</v>
      </c>
      <c r="R17" s="20">
        <f>IF(OR(ISBLANK(Table1[[#This Row],[ميعاد التسليم]]),ISBLANK(Table1[[#This Row],[ميعاد الطلب]])),0,Table1[[#This Row],[ميعاد التسليم]]-Table1[[#This Row],[ميعاد الطلب]])</f>
        <v>13</v>
      </c>
      <c r="S17" s="18">
        <v>45538</v>
      </c>
      <c r="T17" s="18">
        <v>45551</v>
      </c>
      <c r="U17" s="18">
        <v>45550</v>
      </c>
      <c r="V17" t="s">
        <v>172</v>
      </c>
      <c r="W17" t="s">
        <v>171</v>
      </c>
    </row>
    <row r="18" spans="1:23" ht="20.100000000000001" customHeight="1" x14ac:dyDescent="0.25">
      <c r="A18" t="s">
        <v>49</v>
      </c>
      <c r="B18" t="s">
        <v>274</v>
      </c>
      <c r="C18" t="s">
        <v>347</v>
      </c>
      <c r="D18" t="s">
        <v>342</v>
      </c>
      <c r="E18" t="s">
        <v>50</v>
      </c>
      <c r="F18" t="s">
        <v>51</v>
      </c>
      <c r="G18" t="s">
        <v>141</v>
      </c>
      <c r="H18" t="s">
        <v>153</v>
      </c>
      <c r="I18" t="s">
        <v>146</v>
      </c>
      <c r="J18">
        <v>120</v>
      </c>
      <c r="K18" t="s">
        <v>328</v>
      </c>
      <c r="L18" t="s">
        <v>52</v>
      </c>
      <c r="M18">
        <v>6180</v>
      </c>
      <c r="N18" t="str">
        <f>IF(ISNUMBER(Table1[[#This Row],[طريقه الدفع ]]), "كاش",Table1[[#This Row],[طريقه الدفع ]])</f>
        <v>كاش</v>
      </c>
      <c r="O18">
        <v>9700</v>
      </c>
      <c r="P18"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8">
        <f>IF(OR(ISBLANK(Table1[[#This Row],[تاريخ التسليم]]),ISBLANK(Table1[[#This Row],[ميعاد الطلب]])),0,Table1[[#This Row],[تاريخ التسليم]]-Table1[[#This Row],[ميعاد الطلب]])</f>
        <v>12</v>
      </c>
      <c r="R18" s="20">
        <f>IF(OR(ISBLANK(Table1[[#This Row],[ميعاد التسليم]]),ISBLANK(Table1[[#This Row],[ميعاد الطلب]])),0,Table1[[#This Row],[ميعاد التسليم]]-Table1[[#This Row],[ميعاد الطلب]])</f>
        <v>13</v>
      </c>
      <c r="S18" s="18">
        <v>45538</v>
      </c>
      <c r="T18" s="18">
        <v>45551</v>
      </c>
      <c r="U18" s="18">
        <v>45550</v>
      </c>
      <c r="V18" t="s">
        <v>172</v>
      </c>
      <c r="W18" t="s">
        <v>171</v>
      </c>
    </row>
    <row r="19" spans="1:23" ht="20.100000000000001" customHeight="1" x14ac:dyDescent="0.25">
      <c r="A19" t="s">
        <v>53</v>
      </c>
      <c r="B19" t="s">
        <v>274</v>
      </c>
      <c r="C19" t="s">
        <v>347</v>
      </c>
      <c r="D19" t="s">
        <v>342</v>
      </c>
      <c r="E19" t="s">
        <v>54</v>
      </c>
      <c r="F19" t="s">
        <v>6</v>
      </c>
      <c r="G19" t="s">
        <v>141</v>
      </c>
      <c r="H19" t="s">
        <v>153</v>
      </c>
      <c r="I19" t="s">
        <v>145</v>
      </c>
      <c r="J19">
        <v>80</v>
      </c>
      <c r="K19" t="s">
        <v>326</v>
      </c>
      <c r="L19" t="s">
        <v>55</v>
      </c>
      <c r="M19">
        <v>11199</v>
      </c>
      <c r="N19" t="str">
        <f>IF(ISNUMBER(Table1[[#This Row],[طريقه الدفع ]]), "كاش",Table1[[#This Row],[طريقه الدفع ]])</f>
        <v>كاش</v>
      </c>
      <c r="O19">
        <v>11310</v>
      </c>
      <c r="P19">
        <f>IF(OR(Table1[[#This Row],[مدة التسليم (الفعلية)]]=0,Table1[[#This Row],[مدة التسليم (المفترضة)]]=0),0,IF(Table1[[#This Row],[مدة التسليم (الفعلية)]]&gt;Table1[[#This Row],[مدة التسليم (المفترضة)]],"تأخير","قبل الموعد"))</f>
        <v>0</v>
      </c>
      <c r="Q19">
        <f>IF(OR(ISBLANK(Table1[[#This Row],[تاريخ التسليم]]),ISBLANK(Table1[[#This Row],[ميعاد الطلب]])),0,Table1[[#This Row],[تاريخ التسليم]]-Table1[[#This Row],[ميعاد الطلب]])</f>
        <v>0</v>
      </c>
      <c r="R19" s="20">
        <f>IF(OR(ISBLANK(Table1[[#This Row],[ميعاد التسليم]]),ISBLANK(Table1[[#This Row],[ميعاد الطلب]])),0,Table1[[#This Row],[ميعاد التسليم]]-Table1[[#This Row],[ميعاد الطلب]])</f>
        <v>14</v>
      </c>
      <c r="S19" s="18">
        <v>45539</v>
      </c>
      <c r="T19" s="18">
        <v>45553</v>
      </c>
      <c r="U19" s="18"/>
      <c r="V19" t="s">
        <v>320</v>
      </c>
      <c r="W19" t="s">
        <v>191</v>
      </c>
    </row>
    <row r="20" spans="1:23" ht="20.100000000000001" customHeight="1" x14ac:dyDescent="0.25">
      <c r="A20" t="s">
        <v>29</v>
      </c>
      <c r="B20" t="s">
        <v>274</v>
      </c>
      <c r="C20" t="s">
        <v>347</v>
      </c>
      <c r="D20" t="s">
        <v>342</v>
      </c>
      <c r="E20" t="s">
        <v>62</v>
      </c>
      <c r="F20" t="s">
        <v>6</v>
      </c>
      <c r="G20" t="s">
        <v>141</v>
      </c>
      <c r="H20" t="s">
        <v>144</v>
      </c>
      <c r="I20" t="s">
        <v>159</v>
      </c>
      <c r="J20">
        <v>80</v>
      </c>
      <c r="K20" t="s">
        <v>326</v>
      </c>
      <c r="L20" t="s">
        <v>63</v>
      </c>
      <c r="M20">
        <v>7987</v>
      </c>
      <c r="N20" t="str">
        <f>IF(ISNUMBER(Table1[[#This Row],[طريقه الدفع ]]), "كاش",Table1[[#This Row],[طريقه الدفع ]])</f>
        <v>مسبق الدفع</v>
      </c>
      <c r="O20" t="s">
        <v>14</v>
      </c>
      <c r="P20" t="str">
        <f>IF(OR(Table1[[#This Row],[مدة التسليم (الفعلية)]]=0,Table1[[#This Row],[مدة التسليم (المفترضة)]]=0),0,IF(Table1[[#This Row],[مدة التسليم (الفعلية)]]&gt;Table1[[#This Row],[مدة التسليم (المفترضة)]],"تأخير","قبل الموعد"))</f>
        <v>تأخير</v>
      </c>
      <c r="Q20">
        <f>IF(OR(ISBLANK(Table1[[#This Row],[تاريخ التسليم]]),ISBLANK(Table1[[#This Row],[ميعاد الطلب]])),0,Table1[[#This Row],[تاريخ التسليم]]-Table1[[#This Row],[ميعاد الطلب]])</f>
        <v>15</v>
      </c>
      <c r="R20" s="20">
        <f>IF(OR(ISBLANK(Table1[[#This Row],[ميعاد التسليم]]),ISBLANK(Table1[[#This Row],[ميعاد الطلب]])),0,Table1[[#This Row],[ميعاد التسليم]]-Table1[[#This Row],[ميعاد الطلب]])</f>
        <v>10</v>
      </c>
      <c r="S20" s="18">
        <v>45541</v>
      </c>
      <c r="T20" s="18">
        <v>45551</v>
      </c>
      <c r="U20" s="18">
        <v>45556</v>
      </c>
      <c r="V20" t="s">
        <v>172</v>
      </c>
      <c r="W20" t="s">
        <v>171</v>
      </c>
    </row>
    <row r="21" spans="1:23" ht="20.100000000000001" customHeight="1" x14ac:dyDescent="0.25">
      <c r="A21" t="s">
        <v>38</v>
      </c>
      <c r="B21" t="s">
        <v>276</v>
      </c>
      <c r="C21" t="s">
        <v>276</v>
      </c>
      <c r="D21" t="s">
        <v>342</v>
      </c>
      <c r="E21" t="s">
        <v>37</v>
      </c>
      <c r="F21" t="s">
        <v>38</v>
      </c>
      <c r="G21" t="s">
        <v>333</v>
      </c>
      <c r="H21" t="s">
        <v>151</v>
      </c>
      <c r="I21"/>
      <c r="J21" t="s">
        <v>327</v>
      </c>
      <c r="K21" t="s">
        <v>330</v>
      </c>
      <c r="L21" t="s">
        <v>59</v>
      </c>
      <c r="M21">
        <v>9300</v>
      </c>
      <c r="N21" t="str">
        <f>IF(ISNUMBER(Table1[[#This Row],[طريقه الدفع ]]), "كاش",Table1[[#This Row],[طريقه الدفع ]])</f>
        <v>كاش</v>
      </c>
      <c r="O21">
        <v>9300</v>
      </c>
      <c r="P21" t="str">
        <f>IF(OR(Table1[[#This Row],[مدة التسليم (الفعلية)]]=0,Table1[[#This Row],[مدة التسليم (المفترضة)]]=0),0,IF(Table1[[#This Row],[مدة التسليم (الفعلية)]]&gt;Table1[[#This Row],[مدة التسليم (المفترضة)]],"تأخير","قبل الموعد"))</f>
        <v>تأخير</v>
      </c>
      <c r="Q21">
        <f>IF(OR(ISBLANK(Table1[[#This Row],[تاريخ التسليم]]),ISBLANK(Table1[[#This Row],[ميعاد الطلب]])),0,Table1[[#This Row],[تاريخ التسليم]]-Table1[[#This Row],[ميعاد الطلب]])</f>
        <v>13</v>
      </c>
      <c r="R21" s="20">
        <f>IF(OR(ISBLANK(Table1[[#This Row],[ميعاد التسليم]]),ISBLANK(Table1[[#This Row],[ميعاد الطلب]])),0,Table1[[#This Row],[ميعاد التسليم]]-Table1[[#This Row],[ميعاد الطلب]])</f>
        <v>11</v>
      </c>
      <c r="S21" s="18">
        <v>45539</v>
      </c>
      <c r="T21" s="18">
        <v>45550</v>
      </c>
      <c r="U21" s="18">
        <v>45552</v>
      </c>
      <c r="V21" t="s">
        <v>172</v>
      </c>
      <c r="W21" t="s">
        <v>171</v>
      </c>
    </row>
    <row r="22" spans="1:23" ht="20.100000000000001" customHeight="1" x14ac:dyDescent="0.25">
      <c r="A22" t="s">
        <v>29</v>
      </c>
      <c r="B22" t="s">
        <v>274</v>
      </c>
      <c r="C22" t="s">
        <v>347</v>
      </c>
      <c r="D22" t="s">
        <v>342</v>
      </c>
      <c r="E22" t="s">
        <v>62</v>
      </c>
      <c r="F22" t="s">
        <v>6</v>
      </c>
      <c r="G22" t="s">
        <v>141</v>
      </c>
      <c r="H22" t="s">
        <v>144</v>
      </c>
      <c r="I22" t="s">
        <v>159</v>
      </c>
      <c r="J22">
        <v>80</v>
      </c>
      <c r="K22" t="s">
        <v>326</v>
      </c>
      <c r="L22" t="s">
        <v>63</v>
      </c>
      <c r="M22">
        <v>7987</v>
      </c>
      <c r="N22" t="str">
        <f>IF(ISNUMBER(Table1[[#This Row],[طريقه الدفع ]]), "كاش",Table1[[#This Row],[طريقه الدفع ]])</f>
        <v>مسبق الدفع</v>
      </c>
      <c r="O22" t="s">
        <v>14</v>
      </c>
      <c r="P22" t="str">
        <f>IF(OR(Table1[[#This Row],[مدة التسليم (الفعلية)]]=0,Table1[[#This Row],[مدة التسليم (المفترضة)]]=0),0,IF(Table1[[#This Row],[مدة التسليم (الفعلية)]]&gt;Table1[[#This Row],[مدة التسليم (المفترضة)]],"تأخير","قبل الموعد"))</f>
        <v>تأخير</v>
      </c>
      <c r="Q22">
        <f>IF(OR(ISBLANK(Table1[[#This Row],[تاريخ التسليم]]),ISBLANK(Table1[[#This Row],[ميعاد الطلب]])),0,Table1[[#This Row],[تاريخ التسليم]]-Table1[[#This Row],[ميعاد الطلب]])</f>
        <v>15</v>
      </c>
      <c r="R22" s="20">
        <f>IF(OR(ISBLANK(Table1[[#This Row],[ميعاد التسليم]]),ISBLANK(Table1[[#This Row],[ميعاد الطلب]])),0,Table1[[#This Row],[ميعاد التسليم]]-Table1[[#This Row],[ميعاد الطلب]])</f>
        <v>10</v>
      </c>
      <c r="S22" s="18">
        <v>45541</v>
      </c>
      <c r="T22" s="18">
        <v>45551</v>
      </c>
      <c r="U22" s="18">
        <v>45556</v>
      </c>
      <c r="V22" t="s">
        <v>172</v>
      </c>
      <c r="W22" t="s">
        <v>171</v>
      </c>
    </row>
    <row r="23" spans="1:23" ht="20.100000000000001" customHeight="1" x14ac:dyDescent="0.25">
      <c r="A23" t="s">
        <v>29</v>
      </c>
      <c r="B23" t="s">
        <v>274</v>
      </c>
      <c r="C23" t="s">
        <v>347</v>
      </c>
      <c r="D23" t="s">
        <v>342</v>
      </c>
      <c r="E23" t="s">
        <v>62</v>
      </c>
      <c r="F23" t="s">
        <v>6</v>
      </c>
      <c r="G23" t="s">
        <v>141</v>
      </c>
      <c r="H23" t="s">
        <v>144</v>
      </c>
      <c r="I23" t="s">
        <v>159</v>
      </c>
      <c r="J23">
        <v>80</v>
      </c>
      <c r="K23" t="s">
        <v>326</v>
      </c>
      <c r="L23" t="s">
        <v>63</v>
      </c>
      <c r="M23">
        <v>7987</v>
      </c>
      <c r="N23" t="str">
        <f>IF(ISNUMBER(Table1[[#This Row],[طريقه الدفع ]]), "كاش",Table1[[#This Row],[طريقه الدفع ]])</f>
        <v>مسبق الدفع</v>
      </c>
      <c r="O23" t="s">
        <v>14</v>
      </c>
      <c r="P23" t="str">
        <f>IF(OR(Table1[[#This Row],[مدة التسليم (الفعلية)]]=0,Table1[[#This Row],[مدة التسليم (المفترضة)]]=0),0,IF(Table1[[#This Row],[مدة التسليم (الفعلية)]]&gt;Table1[[#This Row],[مدة التسليم (المفترضة)]],"تأخير","قبل الموعد"))</f>
        <v>تأخير</v>
      </c>
      <c r="Q23">
        <f>IF(OR(ISBLANK(Table1[[#This Row],[تاريخ التسليم]]),ISBLANK(Table1[[#This Row],[ميعاد الطلب]])),0,Table1[[#This Row],[تاريخ التسليم]]-Table1[[#This Row],[ميعاد الطلب]])</f>
        <v>15</v>
      </c>
      <c r="R23" s="20">
        <f>IF(OR(ISBLANK(Table1[[#This Row],[ميعاد التسليم]]),ISBLANK(Table1[[#This Row],[ميعاد الطلب]])),0,Table1[[#This Row],[ميعاد التسليم]]-Table1[[#This Row],[ميعاد الطلب]])</f>
        <v>10</v>
      </c>
      <c r="S23" s="18">
        <v>45541</v>
      </c>
      <c r="T23" s="18">
        <v>45551</v>
      </c>
      <c r="U23" s="18">
        <v>45556</v>
      </c>
      <c r="V23" t="s">
        <v>172</v>
      </c>
      <c r="W23" t="s">
        <v>171</v>
      </c>
    </row>
    <row r="24" spans="1:23" ht="20.100000000000001" customHeight="1" x14ac:dyDescent="0.25">
      <c r="A24" t="s">
        <v>29</v>
      </c>
      <c r="B24" t="s">
        <v>274</v>
      </c>
      <c r="C24" t="s">
        <v>347</v>
      </c>
      <c r="D24" t="s">
        <v>342</v>
      </c>
      <c r="E24" t="s">
        <v>62</v>
      </c>
      <c r="F24" t="s">
        <v>6</v>
      </c>
      <c r="G24" t="s">
        <v>141</v>
      </c>
      <c r="H24" t="s">
        <v>144</v>
      </c>
      <c r="I24" t="s">
        <v>159</v>
      </c>
      <c r="J24">
        <v>80</v>
      </c>
      <c r="K24" t="s">
        <v>326</v>
      </c>
      <c r="L24" t="s">
        <v>63</v>
      </c>
      <c r="M24">
        <v>7987</v>
      </c>
      <c r="N24" t="str">
        <f>IF(ISNUMBER(Table1[[#This Row],[طريقه الدفع ]]), "كاش",Table1[[#This Row],[طريقه الدفع ]])</f>
        <v>مسبق الدفع</v>
      </c>
      <c r="O24" t="s">
        <v>14</v>
      </c>
      <c r="P24" t="str">
        <f>IF(OR(Table1[[#This Row],[مدة التسليم (الفعلية)]]=0,Table1[[#This Row],[مدة التسليم (المفترضة)]]=0),0,IF(Table1[[#This Row],[مدة التسليم (الفعلية)]]&gt;Table1[[#This Row],[مدة التسليم (المفترضة)]],"تأخير","قبل الموعد"))</f>
        <v>تأخير</v>
      </c>
      <c r="Q24">
        <f>IF(OR(ISBLANK(Table1[[#This Row],[تاريخ التسليم]]),ISBLANK(Table1[[#This Row],[ميعاد الطلب]])),0,Table1[[#This Row],[تاريخ التسليم]]-Table1[[#This Row],[ميعاد الطلب]])</f>
        <v>15</v>
      </c>
      <c r="R24" s="20">
        <f>IF(OR(ISBLANK(Table1[[#This Row],[ميعاد التسليم]]),ISBLANK(Table1[[#This Row],[ميعاد الطلب]])),0,Table1[[#This Row],[ميعاد التسليم]]-Table1[[#This Row],[ميعاد الطلب]])</f>
        <v>10</v>
      </c>
      <c r="S24" s="18">
        <v>45541</v>
      </c>
      <c r="T24" s="18">
        <v>45551</v>
      </c>
      <c r="U24" s="18">
        <v>45556</v>
      </c>
      <c r="V24" t="s">
        <v>172</v>
      </c>
      <c r="W24" t="s">
        <v>171</v>
      </c>
    </row>
    <row r="25" spans="1:23" ht="20.100000000000001" customHeight="1" x14ac:dyDescent="0.25">
      <c r="A25" t="s">
        <v>100</v>
      </c>
      <c r="B25" t="s">
        <v>274</v>
      </c>
      <c r="C25" t="s">
        <v>348</v>
      </c>
      <c r="D25" t="s">
        <v>342</v>
      </c>
      <c r="E25" t="s">
        <v>101</v>
      </c>
      <c r="F25" t="s">
        <v>6</v>
      </c>
      <c r="G25" t="s">
        <v>237</v>
      </c>
      <c r="H25" t="s">
        <v>165</v>
      </c>
      <c r="I25"/>
      <c r="J25" t="s">
        <v>327</v>
      </c>
      <c r="K25" t="s">
        <v>330</v>
      </c>
      <c r="L25" t="s">
        <v>58</v>
      </c>
      <c r="M25">
        <v>8849</v>
      </c>
      <c r="N25" t="str">
        <f>IF(ISNUMBER(Table1[[#This Row],[طريقه الدفع ]]), "كاش",Table1[[#This Row],[طريقه الدفع ]])</f>
        <v>مسبق الدفع</v>
      </c>
      <c r="O25" t="s">
        <v>14</v>
      </c>
      <c r="P25">
        <f>IF(OR(Table1[[#This Row],[مدة التسليم (الفعلية)]]=0,Table1[[#This Row],[مدة التسليم (المفترضة)]]=0),0,IF(Table1[[#This Row],[مدة التسليم (الفعلية)]]&gt;Table1[[#This Row],[مدة التسليم (المفترضة)]],"تأخير","قبل الموعد"))</f>
        <v>0</v>
      </c>
      <c r="Q25">
        <f>IF(OR(ISBLANK(Table1[[#This Row],[تاريخ التسليم]]),ISBLANK(Table1[[#This Row],[ميعاد الطلب]])),0,Table1[[#This Row],[تاريخ التسليم]]-Table1[[#This Row],[ميعاد الطلب]])</f>
        <v>0</v>
      </c>
      <c r="R25" s="20">
        <f>IF(OR(ISBLANK(Table1[[#This Row],[ميعاد التسليم]]),ISBLANK(Table1[[#This Row],[ميعاد الطلب]])),0,Table1[[#This Row],[ميعاد التسليم]]-Table1[[#This Row],[ميعاد الطلب]])</f>
        <v>43</v>
      </c>
      <c r="S25" s="18">
        <v>45538</v>
      </c>
      <c r="T25" s="18">
        <v>45581</v>
      </c>
      <c r="U25" s="18"/>
      <c r="V25" t="s">
        <v>320</v>
      </c>
      <c r="W25" t="s">
        <v>191</v>
      </c>
    </row>
    <row r="26" spans="1:23" ht="20.100000000000001" customHeight="1" x14ac:dyDescent="0.25">
      <c r="A26" t="s">
        <v>64</v>
      </c>
      <c r="B26" t="s">
        <v>274</v>
      </c>
      <c r="C26" t="s">
        <v>347</v>
      </c>
      <c r="D26" t="s">
        <v>338</v>
      </c>
      <c r="E26" t="s">
        <v>34</v>
      </c>
      <c r="F26" t="s">
        <v>6</v>
      </c>
      <c r="G26" t="s">
        <v>141</v>
      </c>
      <c r="H26" t="s">
        <v>144</v>
      </c>
      <c r="I26" t="s">
        <v>147</v>
      </c>
      <c r="J26">
        <v>120</v>
      </c>
      <c r="K26" t="s">
        <v>326</v>
      </c>
      <c r="L26" t="s">
        <v>65</v>
      </c>
      <c r="M26">
        <v>10987</v>
      </c>
      <c r="N26" t="str">
        <f>IF(ISNUMBER(Table1[[#This Row],[طريقه الدفع ]]), "كاش",Table1[[#This Row],[طريقه الدفع ]])</f>
        <v>مسبق الدفع</v>
      </c>
      <c r="O26" t="s">
        <v>14</v>
      </c>
      <c r="P26" t="str">
        <f>IF(OR(Table1[[#This Row],[مدة التسليم (الفعلية)]]=0,Table1[[#This Row],[مدة التسليم (المفترضة)]]=0),0,IF(Table1[[#This Row],[مدة التسليم (الفعلية)]]&gt;Table1[[#This Row],[مدة التسليم (المفترضة)]],"تأخير","قبل الموعد"))</f>
        <v>تأخير</v>
      </c>
      <c r="Q26">
        <f>IF(OR(ISBLANK(Table1[[#This Row],[تاريخ التسليم]]),ISBLANK(Table1[[#This Row],[ميعاد الطلب]])),0,Table1[[#This Row],[تاريخ التسليم]]-Table1[[#This Row],[ميعاد الطلب]])</f>
        <v>12</v>
      </c>
      <c r="R26" s="20">
        <f>IF(OR(ISBLANK(Table1[[#This Row],[ميعاد التسليم]]),ISBLANK(Table1[[#This Row],[ميعاد الطلب]])),0,Table1[[#This Row],[ميعاد التسليم]]-Table1[[#This Row],[ميعاد الطلب]])</f>
        <v>8</v>
      </c>
      <c r="S26" s="18">
        <v>45544</v>
      </c>
      <c r="T26" s="18">
        <v>45552</v>
      </c>
      <c r="U26" s="18">
        <v>45556</v>
      </c>
      <c r="V26" t="s">
        <v>172</v>
      </c>
      <c r="W26" t="s">
        <v>171</v>
      </c>
    </row>
    <row r="27" spans="1:23" ht="20.100000000000001" customHeight="1" x14ac:dyDescent="0.25">
      <c r="A27" t="s">
        <v>27</v>
      </c>
      <c r="B27" t="s">
        <v>276</v>
      </c>
      <c r="C27" t="s">
        <v>276</v>
      </c>
      <c r="D27"/>
      <c r="E27"/>
      <c r="F27" t="s">
        <v>47</v>
      </c>
      <c r="G27" t="s">
        <v>141</v>
      </c>
      <c r="H27" t="s">
        <v>153</v>
      </c>
      <c r="I27" t="s">
        <v>145</v>
      </c>
      <c r="J27" t="s">
        <v>327</v>
      </c>
      <c r="K27" t="s">
        <v>326</v>
      </c>
      <c r="L27" t="s">
        <v>46</v>
      </c>
      <c r="M27">
        <v>9208</v>
      </c>
      <c r="N27" t="str">
        <f>IF(ISNUMBER(Table1[[#This Row],[طريقه الدفع ]]), "كاش",Table1[[#This Row],[طريقه الدفع ]])</f>
        <v>كاش</v>
      </c>
      <c r="O27">
        <v>5781.75</v>
      </c>
      <c r="P27" t="str">
        <f>IF(OR(Table1[[#This Row],[مدة التسليم (الفعلية)]]=0,Table1[[#This Row],[مدة التسليم (المفترضة)]]=0),0,IF(Table1[[#This Row],[مدة التسليم (الفعلية)]]&gt;Table1[[#This Row],[مدة التسليم (المفترضة)]],"تأخير","قبل الموعد"))</f>
        <v>تأخير</v>
      </c>
      <c r="Q27">
        <f>IF(OR(ISBLANK(Table1[[#This Row],[تاريخ التسليم]]),ISBLANK(Table1[[#This Row],[ميعاد الطلب]])),0,Table1[[#This Row],[تاريخ التسليم]]-Table1[[#This Row],[ميعاد الطلب]])</f>
        <v>20</v>
      </c>
      <c r="R27" s="20">
        <f>IF(OR(ISBLANK(Table1[[#This Row],[ميعاد التسليم]]),ISBLANK(Table1[[#This Row],[ميعاد الطلب]])),0,Table1[[#This Row],[ميعاد التسليم]]-Table1[[#This Row],[ميعاد الطلب]])</f>
        <v>18</v>
      </c>
      <c r="S27" s="18">
        <v>45536</v>
      </c>
      <c r="T27" s="18">
        <v>45554</v>
      </c>
      <c r="U27" s="18">
        <v>45556</v>
      </c>
      <c r="V27" t="s">
        <v>172</v>
      </c>
      <c r="W27" t="s">
        <v>171</v>
      </c>
    </row>
    <row r="28" spans="1:23" ht="20.100000000000001" customHeight="1" x14ac:dyDescent="0.25">
      <c r="A28" t="s">
        <v>27</v>
      </c>
      <c r="B28" t="s">
        <v>276</v>
      </c>
      <c r="C28" t="s">
        <v>276</v>
      </c>
      <c r="D28"/>
      <c r="E28"/>
      <c r="F28" t="s">
        <v>47</v>
      </c>
      <c r="G28" t="s">
        <v>141</v>
      </c>
      <c r="H28" t="s">
        <v>153</v>
      </c>
      <c r="I28" t="s">
        <v>145</v>
      </c>
      <c r="J28" t="s">
        <v>327</v>
      </c>
      <c r="K28" t="s">
        <v>328</v>
      </c>
      <c r="L28" t="s">
        <v>48</v>
      </c>
      <c r="M28">
        <v>9208</v>
      </c>
      <c r="N28" t="str">
        <f>IF(ISNUMBER(Table1[[#This Row],[طريقه الدفع ]]), "كاش",Table1[[#This Row],[طريقه الدفع ]])</f>
        <v>كاش</v>
      </c>
      <c r="O28">
        <v>1278.53</v>
      </c>
      <c r="P28" t="str">
        <f>IF(OR(Table1[[#This Row],[مدة التسليم (الفعلية)]]=0,Table1[[#This Row],[مدة التسليم (المفترضة)]]=0),0,IF(Table1[[#This Row],[مدة التسليم (الفعلية)]]&gt;Table1[[#This Row],[مدة التسليم (المفترضة)]],"تأخير","قبل الموعد"))</f>
        <v>تأخير</v>
      </c>
      <c r="Q28">
        <f>IF(OR(ISBLANK(Table1[[#This Row],[تاريخ التسليم]]),ISBLANK(Table1[[#This Row],[ميعاد الطلب]])),0,Table1[[#This Row],[تاريخ التسليم]]-Table1[[#This Row],[ميعاد الطلب]])</f>
        <v>20</v>
      </c>
      <c r="R28" s="20">
        <f>IF(OR(ISBLANK(Table1[[#This Row],[ميعاد التسليم]]),ISBLANK(Table1[[#This Row],[ميعاد الطلب]])),0,Table1[[#This Row],[ميعاد التسليم]]-Table1[[#This Row],[ميعاد الطلب]])</f>
        <v>18</v>
      </c>
      <c r="S28" s="18">
        <v>45536</v>
      </c>
      <c r="T28" s="18">
        <v>45554</v>
      </c>
      <c r="U28" s="18">
        <v>45556</v>
      </c>
      <c r="V28" t="s">
        <v>172</v>
      </c>
      <c r="W28" t="s">
        <v>171</v>
      </c>
    </row>
    <row r="29" spans="1:23" ht="20.100000000000001" customHeight="1" x14ac:dyDescent="0.25">
      <c r="A29" t="s">
        <v>77</v>
      </c>
      <c r="B29" t="s">
        <v>276</v>
      </c>
      <c r="C29" t="s">
        <v>276</v>
      </c>
      <c r="D29" t="s">
        <v>343</v>
      </c>
      <c r="E29" t="s">
        <v>78</v>
      </c>
      <c r="F29" t="s">
        <v>51</v>
      </c>
      <c r="G29" t="s">
        <v>141</v>
      </c>
      <c r="H29" t="s">
        <v>144</v>
      </c>
      <c r="I29" t="s">
        <v>159</v>
      </c>
      <c r="J29">
        <v>120</v>
      </c>
      <c r="K29" t="s">
        <v>326</v>
      </c>
      <c r="L29" t="s">
        <v>81</v>
      </c>
      <c r="M29">
        <v>4020</v>
      </c>
      <c r="N29" t="str">
        <f>IF(ISNUMBER(Table1[[#This Row],[طريقه الدفع ]]), "كاش",Table1[[#This Row],[طريقه الدفع ]])</f>
        <v>حساب شركه</v>
      </c>
      <c r="O29" t="s">
        <v>79</v>
      </c>
      <c r="P29" t="str">
        <f>IF(OR(Table1[[#This Row],[مدة التسليم (الفعلية)]]=0,Table1[[#This Row],[مدة التسليم (المفترضة)]]=0),0,IF(Table1[[#This Row],[مدة التسليم (الفعلية)]]&gt;Table1[[#This Row],[مدة التسليم (المفترضة)]],"تأخير","قبل الموعد"))</f>
        <v>تأخير</v>
      </c>
      <c r="Q29">
        <f>IF(OR(ISBLANK(Table1[[#This Row],[تاريخ التسليم]]),ISBLANK(Table1[[#This Row],[ميعاد الطلب]])),0,Table1[[#This Row],[تاريخ التسليم]]-Table1[[#This Row],[ميعاد الطلب]])</f>
        <v>10</v>
      </c>
      <c r="R29" s="20">
        <f>IF(OR(ISBLANK(Table1[[#This Row],[ميعاد التسليم]]),ISBLANK(Table1[[#This Row],[ميعاد الطلب]])),0,Table1[[#This Row],[ميعاد التسليم]]-Table1[[#This Row],[ميعاد الطلب]])</f>
        <v>9</v>
      </c>
      <c r="S29" s="18">
        <v>45547</v>
      </c>
      <c r="T29" s="18">
        <v>45556</v>
      </c>
      <c r="U29" s="18">
        <v>45557</v>
      </c>
      <c r="V29" t="s">
        <v>172</v>
      </c>
      <c r="W29" t="s">
        <v>171</v>
      </c>
    </row>
    <row r="30" spans="1:23" ht="20.100000000000001" customHeight="1" x14ac:dyDescent="0.25">
      <c r="A30" t="s">
        <v>77</v>
      </c>
      <c r="B30" t="s">
        <v>276</v>
      </c>
      <c r="C30" t="s">
        <v>276</v>
      </c>
      <c r="D30" t="s">
        <v>343</v>
      </c>
      <c r="E30" t="s">
        <v>78</v>
      </c>
      <c r="F30" t="s">
        <v>51</v>
      </c>
      <c r="G30" t="s">
        <v>141</v>
      </c>
      <c r="H30" t="s">
        <v>144</v>
      </c>
      <c r="I30" t="s">
        <v>159</v>
      </c>
      <c r="J30">
        <v>120</v>
      </c>
      <c r="K30" t="s">
        <v>326</v>
      </c>
      <c r="L30" t="s">
        <v>81</v>
      </c>
      <c r="M30">
        <v>4020</v>
      </c>
      <c r="N30" t="str">
        <f>IF(ISNUMBER(Table1[[#This Row],[طريقه الدفع ]]), "كاش",Table1[[#This Row],[طريقه الدفع ]])</f>
        <v>حساب شركه</v>
      </c>
      <c r="O30" t="s">
        <v>79</v>
      </c>
      <c r="P30" t="str">
        <f>IF(OR(Table1[[#This Row],[مدة التسليم (الفعلية)]]=0,Table1[[#This Row],[مدة التسليم (المفترضة)]]=0),0,IF(Table1[[#This Row],[مدة التسليم (الفعلية)]]&gt;Table1[[#This Row],[مدة التسليم (المفترضة)]],"تأخير","قبل الموعد"))</f>
        <v>تأخير</v>
      </c>
      <c r="Q30">
        <f>IF(OR(ISBLANK(Table1[[#This Row],[تاريخ التسليم]]),ISBLANK(Table1[[#This Row],[ميعاد الطلب]])),0,Table1[[#This Row],[تاريخ التسليم]]-Table1[[#This Row],[ميعاد الطلب]])</f>
        <v>10</v>
      </c>
      <c r="R30" s="20">
        <f>IF(OR(ISBLANK(Table1[[#This Row],[ميعاد التسليم]]),ISBLANK(Table1[[#This Row],[ميعاد الطلب]])),0,Table1[[#This Row],[ميعاد التسليم]]-Table1[[#This Row],[ميعاد الطلب]])</f>
        <v>9</v>
      </c>
      <c r="S30" s="18">
        <v>45547</v>
      </c>
      <c r="T30" s="18">
        <v>45556</v>
      </c>
      <c r="U30" s="18">
        <v>45557</v>
      </c>
      <c r="V30" t="s">
        <v>172</v>
      </c>
      <c r="W30" t="s">
        <v>171</v>
      </c>
    </row>
    <row r="31" spans="1:23" ht="20.100000000000001" customHeight="1" x14ac:dyDescent="0.25">
      <c r="A31" t="s">
        <v>77</v>
      </c>
      <c r="B31" t="s">
        <v>276</v>
      </c>
      <c r="C31" t="s">
        <v>276</v>
      </c>
      <c r="D31" t="s">
        <v>343</v>
      </c>
      <c r="E31" t="s">
        <v>78</v>
      </c>
      <c r="F31" t="s">
        <v>51</v>
      </c>
      <c r="G31" t="s">
        <v>141</v>
      </c>
      <c r="H31" t="s">
        <v>144</v>
      </c>
      <c r="I31" t="s">
        <v>154</v>
      </c>
      <c r="J31">
        <v>120</v>
      </c>
      <c r="K31" t="s">
        <v>328</v>
      </c>
      <c r="L31" t="s">
        <v>80</v>
      </c>
      <c r="M31">
        <v>4020</v>
      </c>
      <c r="N31" t="str">
        <f>IF(ISNUMBER(Table1[[#This Row],[طريقه الدفع ]]), "كاش",Table1[[#This Row],[طريقه الدفع ]])</f>
        <v>مسبق الدفع</v>
      </c>
      <c r="O31" t="s">
        <v>14</v>
      </c>
      <c r="P31" t="str">
        <f>IF(OR(Table1[[#This Row],[مدة التسليم (الفعلية)]]=0,Table1[[#This Row],[مدة التسليم (المفترضة)]]=0),0,IF(Table1[[#This Row],[مدة التسليم (الفعلية)]]&gt;Table1[[#This Row],[مدة التسليم (المفترضة)]],"تأخير","قبل الموعد"))</f>
        <v>تأخير</v>
      </c>
      <c r="Q31">
        <f>IF(OR(ISBLANK(Table1[[#This Row],[تاريخ التسليم]]),ISBLANK(Table1[[#This Row],[ميعاد الطلب]])),0,Table1[[#This Row],[تاريخ التسليم]]-Table1[[#This Row],[ميعاد الطلب]])</f>
        <v>10</v>
      </c>
      <c r="R31" s="20">
        <f>IF(OR(ISBLANK(Table1[[#This Row],[ميعاد التسليم]]),ISBLANK(Table1[[#This Row],[ميعاد الطلب]])),0,Table1[[#This Row],[ميعاد التسليم]]-Table1[[#This Row],[ميعاد الطلب]])</f>
        <v>9</v>
      </c>
      <c r="S31" s="18">
        <v>45547</v>
      </c>
      <c r="T31" s="18">
        <v>45556</v>
      </c>
      <c r="U31" s="18">
        <v>45557</v>
      </c>
      <c r="V31" t="s">
        <v>172</v>
      </c>
      <c r="W31" t="s">
        <v>171</v>
      </c>
    </row>
    <row r="32" spans="1:23" ht="20.100000000000001" customHeight="1" x14ac:dyDescent="0.25">
      <c r="A32" t="s">
        <v>77</v>
      </c>
      <c r="B32" t="s">
        <v>276</v>
      </c>
      <c r="C32" t="s">
        <v>276</v>
      </c>
      <c r="D32" t="s">
        <v>343</v>
      </c>
      <c r="E32" t="s">
        <v>78</v>
      </c>
      <c r="F32" t="s">
        <v>51</v>
      </c>
      <c r="G32" t="s">
        <v>141</v>
      </c>
      <c r="H32" t="s">
        <v>144</v>
      </c>
      <c r="I32" t="s">
        <v>154</v>
      </c>
      <c r="J32">
        <v>120</v>
      </c>
      <c r="K32" t="s">
        <v>328</v>
      </c>
      <c r="L32" t="s">
        <v>80</v>
      </c>
      <c r="M32">
        <v>4020</v>
      </c>
      <c r="N32" t="str">
        <f>IF(ISNUMBER(Table1[[#This Row],[طريقه الدفع ]]), "كاش",Table1[[#This Row],[طريقه الدفع ]])</f>
        <v>مسبق الدفع</v>
      </c>
      <c r="O32" t="s">
        <v>14</v>
      </c>
      <c r="P32" t="str">
        <f>IF(OR(Table1[[#This Row],[مدة التسليم (الفعلية)]]=0,Table1[[#This Row],[مدة التسليم (المفترضة)]]=0),0,IF(Table1[[#This Row],[مدة التسليم (الفعلية)]]&gt;Table1[[#This Row],[مدة التسليم (المفترضة)]],"تأخير","قبل الموعد"))</f>
        <v>تأخير</v>
      </c>
      <c r="Q32">
        <f>IF(OR(ISBLANK(Table1[[#This Row],[تاريخ التسليم]]),ISBLANK(Table1[[#This Row],[ميعاد الطلب]])),0,Table1[[#This Row],[تاريخ التسليم]]-Table1[[#This Row],[ميعاد الطلب]])</f>
        <v>10</v>
      </c>
      <c r="R32" s="20">
        <f>IF(OR(ISBLANK(Table1[[#This Row],[ميعاد التسليم]]),ISBLANK(Table1[[#This Row],[ميعاد الطلب]])),0,Table1[[#This Row],[ميعاد التسليم]]-Table1[[#This Row],[ميعاد الطلب]])</f>
        <v>9</v>
      </c>
      <c r="S32" s="18">
        <v>45547</v>
      </c>
      <c r="T32" s="18">
        <v>45556</v>
      </c>
      <c r="U32" s="18">
        <v>45557</v>
      </c>
      <c r="V32" t="s">
        <v>172</v>
      </c>
      <c r="W32" t="s">
        <v>171</v>
      </c>
    </row>
    <row r="33" spans="1:23" ht="20.100000000000001" customHeight="1" x14ac:dyDescent="0.25">
      <c r="A33" t="s">
        <v>135</v>
      </c>
      <c r="B33" t="s">
        <v>274</v>
      </c>
      <c r="C33" t="s">
        <v>348</v>
      </c>
      <c r="D33" t="s">
        <v>183</v>
      </c>
      <c r="E33" t="s">
        <v>136</v>
      </c>
      <c r="F33" t="s">
        <v>6</v>
      </c>
      <c r="G33" t="s">
        <v>141</v>
      </c>
      <c r="H33" t="s">
        <v>142</v>
      </c>
      <c r="I33"/>
      <c r="J33" t="s">
        <v>327</v>
      </c>
      <c r="K33" t="s">
        <v>328</v>
      </c>
      <c r="L33" t="s">
        <v>137</v>
      </c>
      <c r="M33">
        <v>9399</v>
      </c>
      <c r="N33" t="str">
        <f>IF(ISNUMBER(Table1[[#This Row],[طريقه الدفع ]]), "كاش",Table1[[#This Row],[طريقه الدفع ]])</f>
        <v>مسبق الدفع</v>
      </c>
      <c r="O33" t="s">
        <v>14</v>
      </c>
      <c r="P33">
        <f>IF(OR(Table1[[#This Row],[مدة التسليم (الفعلية)]]=0,Table1[[#This Row],[مدة التسليم (المفترضة)]]=0),0,IF(Table1[[#This Row],[مدة التسليم (الفعلية)]]&gt;Table1[[#This Row],[مدة التسليم (المفترضة)]],"تأخير","قبل الموعد"))</f>
        <v>0</v>
      </c>
      <c r="Q33">
        <f>IF(OR(ISBLANK(Table1[[#This Row],[تاريخ التسليم]]),ISBLANK(Table1[[#This Row],[ميعاد الطلب]])),0,Table1[[#This Row],[تاريخ التسليم]]-Table1[[#This Row],[ميعاد الطلب]])</f>
        <v>0</v>
      </c>
      <c r="R33" s="20">
        <f>IF(OR(ISBLANK(Table1[[#This Row],[ميعاد التسليم]]),ISBLANK(Table1[[#This Row],[ميعاد الطلب]])),0,Table1[[#This Row],[ميعاد التسليم]]-Table1[[#This Row],[ميعاد الطلب]])</f>
        <v>8</v>
      </c>
      <c r="S33" s="18">
        <f>DATE(2024,9,14)</f>
        <v>45549</v>
      </c>
      <c r="T33" s="18">
        <v>45557</v>
      </c>
      <c r="U33" s="18"/>
      <c r="V33" t="s">
        <v>32</v>
      </c>
      <c r="W33" t="s">
        <v>169</v>
      </c>
    </row>
    <row r="34" spans="1:23" ht="20.100000000000001" customHeight="1" x14ac:dyDescent="0.25">
      <c r="A34" t="s">
        <v>138</v>
      </c>
      <c r="B34" t="s">
        <v>274</v>
      </c>
      <c r="C34" t="s">
        <v>347</v>
      </c>
      <c r="D34" t="s">
        <v>339</v>
      </c>
      <c r="E34" t="s">
        <v>139</v>
      </c>
      <c r="F34" t="s">
        <v>6</v>
      </c>
      <c r="G34" t="s">
        <v>237</v>
      </c>
      <c r="H34" t="s">
        <v>167</v>
      </c>
      <c r="I34"/>
      <c r="J34" t="s">
        <v>327</v>
      </c>
      <c r="K34" t="s">
        <v>330</v>
      </c>
      <c r="L34" t="s">
        <v>140</v>
      </c>
      <c r="M34">
        <v>8349</v>
      </c>
      <c r="N34" t="str">
        <f>IF(ISNUMBER(Table1[[#This Row],[طريقه الدفع ]]), "كاش",Table1[[#This Row],[طريقه الدفع ]])</f>
        <v>مسبق الدفع</v>
      </c>
      <c r="O34" t="s">
        <v>14</v>
      </c>
      <c r="P34" t="str">
        <f>IF(OR(Table1[[#This Row],[مدة التسليم (الفعلية)]]=0,Table1[[#This Row],[مدة التسليم (المفترضة)]]=0),0,IF(Table1[[#This Row],[مدة التسليم (الفعلية)]]&gt;Table1[[#This Row],[مدة التسليم (المفترضة)]],"تأخير","قبل الموعد"))</f>
        <v>تأخير</v>
      </c>
      <c r="Q34">
        <f>IF(OR(ISBLANK(Table1[[#This Row],[تاريخ التسليم]]),ISBLANK(Table1[[#This Row],[ميعاد الطلب]])),0,Table1[[#This Row],[تاريخ التسليم]]-Table1[[#This Row],[ميعاد الطلب]])</f>
        <v>10</v>
      </c>
      <c r="R34" s="20">
        <f>IF(OR(ISBLANK(Table1[[#This Row],[ميعاد التسليم]]),ISBLANK(Table1[[#This Row],[ميعاد الطلب]])),0,Table1[[#This Row],[ميعاد التسليم]]-Table1[[#This Row],[ميعاد الطلب]])</f>
        <v>8</v>
      </c>
      <c r="S34" s="18">
        <v>45549</v>
      </c>
      <c r="T34" s="18">
        <v>45557</v>
      </c>
      <c r="U34" s="18">
        <v>45559</v>
      </c>
      <c r="V34" t="s">
        <v>24</v>
      </c>
      <c r="W34" t="s">
        <v>171</v>
      </c>
    </row>
    <row r="35" spans="1:23" ht="20.100000000000001" customHeight="1" x14ac:dyDescent="0.25">
      <c r="A35" t="s">
        <v>98</v>
      </c>
      <c r="B35" t="s">
        <v>274</v>
      </c>
      <c r="C35" t="s">
        <v>347</v>
      </c>
      <c r="D35" t="s">
        <v>338</v>
      </c>
      <c r="E35" t="s">
        <v>34</v>
      </c>
      <c r="F35" t="s">
        <v>6</v>
      </c>
      <c r="G35" t="s">
        <v>141</v>
      </c>
      <c r="H35" t="s">
        <v>142</v>
      </c>
      <c r="I35"/>
      <c r="J35" t="s">
        <v>327</v>
      </c>
      <c r="K35" t="s">
        <v>328</v>
      </c>
      <c r="L35" t="s">
        <v>99</v>
      </c>
      <c r="M35">
        <v>9399</v>
      </c>
      <c r="N35" t="str">
        <f>IF(ISNUMBER(Table1[[#This Row],[طريقه الدفع ]]), "كاش",Table1[[#This Row],[طريقه الدفع ]])</f>
        <v>مسبق الدفع</v>
      </c>
      <c r="O35" t="s">
        <v>14</v>
      </c>
      <c r="P35" t="str">
        <f>IF(OR(Table1[[#This Row],[مدة التسليم (الفعلية)]]=0,Table1[[#This Row],[مدة التسليم (المفترضة)]]=0),0,IF(Table1[[#This Row],[مدة التسليم (الفعلية)]]&gt;Table1[[#This Row],[مدة التسليم (المفترضة)]],"تأخير","قبل الموعد"))</f>
        <v>تأخير</v>
      </c>
      <c r="Q35">
        <f>IF(OR(ISBLANK(Table1[[#This Row],[تاريخ التسليم]]),ISBLANK(Table1[[#This Row],[ميعاد الطلب]])),0,Table1[[#This Row],[تاريخ التسليم]]-Table1[[#This Row],[ميعاد الطلب]])</f>
        <v>17</v>
      </c>
      <c r="R35" s="20">
        <f>IF(OR(ISBLANK(Table1[[#This Row],[ميعاد التسليم]]),ISBLANK(Table1[[#This Row],[ميعاد الطلب]])),0,Table1[[#This Row],[ميعاد التسليم]]-Table1[[#This Row],[ميعاد الطلب]])</f>
        <v>11</v>
      </c>
      <c r="S35" s="18">
        <v>45548</v>
      </c>
      <c r="T35" s="18">
        <v>45559</v>
      </c>
      <c r="U35" s="18">
        <f>DATE(2024,9,30)</f>
        <v>45565</v>
      </c>
      <c r="V35" t="s">
        <v>24</v>
      </c>
      <c r="W35" t="s">
        <v>171</v>
      </c>
    </row>
    <row r="36" spans="1:23" ht="20.100000000000001" customHeight="1" x14ac:dyDescent="0.25">
      <c r="A36" t="s">
        <v>66</v>
      </c>
      <c r="B36" t="s">
        <v>274</v>
      </c>
      <c r="C36" t="s">
        <v>348</v>
      </c>
      <c r="D36" t="s">
        <v>342</v>
      </c>
      <c r="E36" t="s">
        <v>67</v>
      </c>
      <c r="F36" t="s">
        <v>6</v>
      </c>
      <c r="G36" t="s">
        <v>237</v>
      </c>
      <c r="H36" t="s">
        <v>165</v>
      </c>
      <c r="I36"/>
      <c r="J36" t="s">
        <v>327</v>
      </c>
      <c r="K36" t="s">
        <v>330</v>
      </c>
      <c r="L36" t="s">
        <v>58</v>
      </c>
      <c r="M36">
        <v>7849</v>
      </c>
      <c r="N36" t="str">
        <f>IF(ISNUMBER(Table1[[#This Row],[طريقه الدفع ]]), "كاش",Table1[[#This Row],[طريقه الدفع ]])</f>
        <v>كاش</v>
      </c>
      <c r="O36">
        <v>7928</v>
      </c>
      <c r="P36">
        <f>IF(OR(Table1[[#This Row],[مدة التسليم (الفعلية)]]=0,Table1[[#This Row],[مدة التسليم (المفترضة)]]=0),0,IF(Table1[[#This Row],[مدة التسليم (الفعلية)]]&gt;Table1[[#This Row],[مدة التسليم (المفترضة)]],"تأخير","قبل الموعد"))</f>
        <v>0</v>
      </c>
      <c r="Q36">
        <f>IF(OR(ISBLANK(Table1[[#This Row],[تاريخ التسليم]]),ISBLANK(Table1[[#This Row],[ميعاد الطلب]])),0,Table1[[#This Row],[تاريخ التسليم]]-Table1[[#This Row],[ميعاد الطلب]])</f>
        <v>0</v>
      </c>
      <c r="R36" s="20">
        <f>IF(OR(ISBLANK(Table1[[#This Row],[ميعاد التسليم]]),ISBLANK(Table1[[#This Row],[ميعاد الطلب]])),0,Table1[[#This Row],[ميعاد التسليم]]-Table1[[#This Row],[ميعاد الطلب]])</f>
        <v>14</v>
      </c>
      <c r="S36" s="18">
        <v>45547</v>
      </c>
      <c r="T36" s="18">
        <v>45561</v>
      </c>
      <c r="U36" s="18"/>
      <c r="V36" t="s">
        <v>24</v>
      </c>
      <c r="W36" t="s">
        <v>171</v>
      </c>
    </row>
    <row r="37" spans="1:23" ht="20.100000000000001" customHeight="1" x14ac:dyDescent="0.25">
      <c r="A37" t="s">
        <v>74</v>
      </c>
      <c r="B37" t="s">
        <v>274</v>
      </c>
      <c r="C37" t="s">
        <v>348</v>
      </c>
      <c r="D37" t="s">
        <v>338</v>
      </c>
      <c r="E37" t="s">
        <v>75</v>
      </c>
      <c r="F37" t="s">
        <v>31</v>
      </c>
      <c r="G37" t="s">
        <v>141</v>
      </c>
      <c r="H37" t="s">
        <v>155</v>
      </c>
      <c r="I37" t="s">
        <v>146</v>
      </c>
      <c r="J37">
        <v>100</v>
      </c>
      <c r="K37" t="s">
        <v>328</v>
      </c>
      <c r="L37" t="s">
        <v>76</v>
      </c>
      <c r="M37">
        <v>9450</v>
      </c>
      <c r="N37" t="str">
        <f>IF(ISNUMBER(Table1[[#This Row],[طريقه الدفع ]]), "كاش",Table1[[#This Row],[طريقه الدفع ]])</f>
        <v>كاش</v>
      </c>
      <c r="O37">
        <v>9450</v>
      </c>
      <c r="P37">
        <f>IF(OR(Table1[[#This Row],[مدة التسليم (الفعلية)]]=0,Table1[[#This Row],[مدة التسليم (المفترضة)]]=0),0,IF(Table1[[#This Row],[مدة التسليم (الفعلية)]]&gt;Table1[[#This Row],[مدة التسليم (المفترضة)]],"تأخير","قبل الموعد"))</f>
        <v>0</v>
      </c>
      <c r="Q37">
        <f>IF(OR(ISBLANK(Table1[[#This Row],[تاريخ التسليم]]),ISBLANK(Table1[[#This Row],[ميعاد الطلب]])),0,Table1[[#This Row],[تاريخ التسليم]]-Table1[[#This Row],[ميعاد الطلب]])</f>
        <v>0</v>
      </c>
      <c r="R37" s="20">
        <f>IF(OR(ISBLANK(Table1[[#This Row],[ميعاد التسليم]]),ISBLANK(Table1[[#This Row],[ميعاد الطلب]])),0,Table1[[#This Row],[ميعاد التسليم]]-Table1[[#This Row],[ميعاد الطلب]])</f>
        <v>14</v>
      </c>
      <c r="S37" s="18">
        <v>45547</v>
      </c>
      <c r="T37" s="18">
        <v>45561</v>
      </c>
      <c r="U37" s="18"/>
      <c r="V37" t="s">
        <v>320</v>
      </c>
      <c r="W37" t="s">
        <v>191</v>
      </c>
    </row>
    <row r="38" spans="1:23" ht="20.100000000000001" customHeight="1" x14ac:dyDescent="0.25">
      <c r="A38" t="s">
        <v>89</v>
      </c>
      <c r="B38" t="s">
        <v>274</v>
      </c>
      <c r="C38" t="s">
        <v>348</v>
      </c>
      <c r="D38" t="s">
        <v>342</v>
      </c>
      <c r="E38" t="s">
        <v>62</v>
      </c>
      <c r="F38" t="s">
        <v>6</v>
      </c>
      <c r="G38" t="s">
        <v>141</v>
      </c>
      <c r="H38" t="s">
        <v>144</v>
      </c>
      <c r="I38" t="s">
        <v>147</v>
      </c>
      <c r="J38">
        <v>120</v>
      </c>
      <c r="K38" t="s">
        <v>328</v>
      </c>
      <c r="L38" t="s">
        <v>90</v>
      </c>
      <c r="M38">
        <v>7460</v>
      </c>
      <c r="N38" t="str">
        <f>IF(ISNUMBER(Table1[[#This Row],[طريقه الدفع ]]), "كاش",Table1[[#This Row],[طريقه الدفع ]])</f>
        <v>مسبق الدفع</v>
      </c>
      <c r="O38" t="s">
        <v>14</v>
      </c>
      <c r="P38" t="str">
        <f>IF(OR(Table1[[#This Row],[مدة التسليم (الفعلية)]]=0,Table1[[#This Row],[مدة التسليم (المفترضة)]]=0),0,IF(Table1[[#This Row],[مدة التسليم (الفعلية)]]&gt;Table1[[#This Row],[مدة التسليم (المفترضة)]],"تأخير","قبل الموعد"))</f>
        <v>تأخير</v>
      </c>
      <c r="Q38">
        <f>IF(OR(ISBLANK(Table1[[#This Row],[تاريخ التسليم]]),ISBLANK(Table1[[#This Row],[ميعاد الطلب]])),0,Table1[[#This Row],[تاريخ التسليم]]-Table1[[#This Row],[ميعاد الطلب]])</f>
        <v>20</v>
      </c>
      <c r="R38" s="20">
        <f>IF(OR(ISBLANK(Table1[[#This Row],[ميعاد التسليم]]),ISBLANK(Table1[[#This Row],[ميعاد الطلب]])),0,Table1[[#This Row],[ميعاد التسليم]]-Table1[[#This Row],[ميعاد الطلب]])</f>
        <v>13</v>
      </c>
      <c r="S38" s="18">
        <v>45548</v>
      </c>
      <c r="T38" s="18">
        <v>45561</v>
      </c>
      <c r="U38" s="18">
        <v>45568</v>
      </c>
      <c r="V38" t="s">
        <v>172</v>
      </c>
      <c r="W38" t="s">
        <v>171</v>
      </c>
    </row>
    <row r="39" spans="1:23" ht="20.100000000000001" customHeight="1" x14ac:dyDescent="0.25">
      <c r="A39" t="s">
        <v>93</v>
      </c>
      <c r="B39" t="s">
        <v>274</v>
      </c>
      <c r="C39" t="s">
        <v>347</v>
      </c>
      <c r="D39" t="s">
        <v>342</v>
      </c>
      <c r="E39" t="s">
        <v>62</v>
      </c>
      <c r="F39" t="s">
        <v>6</v>
      </c>
      <c r="G39" t="s">
        <v>141</v>
      </c>
      <c r="H39" t="s">
        <v>144</v>
      </c>
      <c r="I39" t="s">
        <v>160</v>
      </c>
      <c r="J39">
        <v>140</v>
      </c>
      <c r="K39" t="s">
        <v>331</v>
      </c>
      <c r="L39" t="s">
        <v>94</v>
      </c>
      <c r="M39">
        <v>9528</v>
      </c>
      <c r="N39" t="str">
        <f>IF(ISNUMBER(Table1[[#This Row],[طريقه الدفع ]]), "كاش",Table1[[#This Row],[طريقه الدفع ]])</f>
        <v>مسبق الدفع</v>
      </c>
      <c r="O39" t="s">
        <v>14</v>
      </c>
      <c r="P39" t="str">
        <f>IF(OR(Table1[[#This Row],[مدة التسليم (الفعلية)]]=0,Table1[[#This Row],[مدة التسليم (المفترضة)]]=0),0,IF(Table1[[#This Row],[مدة التسليم (الفعلية)]]&gt;Table1[[#This Row],[مدة التسليم (المفترضة)]],"تأخير","قبل الموعد"))</f>
        <v>تأخير</v>
      </c>
      <c r="Q39">
        <f>IF(OR(ISBLANK(Table1[[#This Row],[تاريخ التسليم]]),ISBLANK(Table1[[#This Row],[ميعاد الطلب]])),0,Table1[[#This Row],[تاريخ التسليم]]-Table1[[#This Row],[ميعاد الطلب]])</f>
        <v>20</v>
      </c>
      <c r="R39" s="20">
        <f>IF(OR(ISBLANK(Table1[[#This Row],[ميعاد التسليم]]),ISBLANK(Table1[[#This Row],[ميعاد الطلب]])),0,Table1[[#This Row],[ميعاد التسليم]]-Table1[[#This Row],[ميعاد الطلب]])</f>
        <v>13</v>
      </c>
      <c r="S39" s="18">
        <v>45548</v>
      </c>
      <c r="T39" s="18">
        <v>45561</v>
      </c>
      <c r="U39" s="18">
        <v>45568</v>
      </c>
      <c r="V39" t="s">
        <v>172</v>
      </c>
      <c r="W39" t="s">
        <v>171</v>
      </c>
    </row>
    <row r="40" spans="1:23" ht="20.100000000000001" customHeight="1" x14ac:dyDescent="0.25">
      <c r="A40" t="s">
        <v>133</v>
      </c>
      <c r="B40" t="s">
        <v>274</v>
      </c>
      <c r="C40" t="s">
        <v>347</v>
      </c>
      <c r="D40" t="s">
        <v>338</v>
      </c>
      <c r="E40" t="s">
        <v>34</v>
      </c>
      <c r="F40" t="s">
        <v>6</v>
      </c>
      <c r="G40" t="s">
        <v>141</v>
      </c>
      <c r="H40" t="s">
        <v>153</v>
      </c>
      <c r="I40" t="s">
        <v>146</v>
      </c>
      <c r="J40">
        <v>120</v>
      </c>
      <c r="K40" t="s">
        <v>331</v>
      </c>
      <c r="L40" t="s">
        <v>134</v>
      </c>
      <c r="M40">
        <v>12999</v>
      </c>
      <c r="N40" t="str">
        <f>IF(ISNUMBER(Table1[[#This Row],[طريقه الدفع ]]), "كاش",Table1[[#This Row],[طريقه الدفع ]])</f>
        <v>مسبق الدفع</v>
      </c>
      <c r="O40" t="s">
        <v>14</v>
      </c>
      <c r="P40" t="str">
        <f>IF(OR(Table1[[#This Row],[مدة التسليم (الفعلية)]]=0,Table1[[#This Row],[مدة التسليم (المفترضة)]]=0),0,IF(Table1[[#This Row],[مدة التسليم (الفعلية)]]&gt;Table1[[#This Row],[مدة التسليم (المفترضة)]],"تأخير","قبل الموعد"))</f>
        <v>تأخير</v>
      </c>
      <c r="Q40">
        <f>IF(OR(ISBLANK(Table1[[#This Row],[تاريخ التسليم]]),ISBLANK(Table1[[#This Row],[ميعاد الطلب]])),0,Table1[[#This Row],[تاريخ التسليم]]-Table1[[#This Row],[ميعاد الطلب]])</f>
        <v>18</v>
      </c>
      <c r="R40" s="20">
        <f>IF(OR(ISBLANK(Table1[[#This Row],[ميعاد التسليم]]),ISBLANK(Table1[[#This Row],[ميعاد الطلب]])),0,Table1[[#This Row],[ميعاد التسليم]]-Table1[[#This Row],[ميعاد الطلب]])</f>
        <v>13</v>
      </c>
      <c r="S40" s="18">
        <v>45549</v>
      </c>
      <c r="T40" s="18">
        <v>45562</v>
      </c>
      <c r="U40" s="18">
        <v>45567</v>
      </c>
      <c r="V40" t="s">
        <v>172</v>
      </c>
      <c r="W40" t="s">
        <v>171</v>
      </c>
    </row>
    <row r="41" spans="1:23" ht="20.100000000000001" customHeight="1" x14ac:dyDescent="0.25">
      <c r="A41" t="s">
        <v>68</v>
      </c>
      <c r="B41" t="s">
        <v>274</v>
      </c>
      <c r="C41" t="s">
        <v>347</v>
      </c>
      <c r="D41" t="s">
        <v>342</v>
      </c>
      <c r="E41" t="s">
        <v>69</v>
      </c>
      <c r="F41" t="s">
        <v>6</v>
      </c>
      <c r="G41" t="s">
        <v>141</v>
      </c>
      <c r="H41" t="s">
        <v>153</v>
      </c>
      <c r="I41" t="s">
        <v>143</v>
      </c>
      <c r="J41">
        <v>90</v>
      </c>
      <c r="K41" t="s">
        <v>328</v>
      </c>
      <c r="L41" t="s">
        <v>72</v>
      </c>
      <c r="M41">
        <v>5999</v>
      </c>
      <c r="N41" t="str">
        <f>IF(ISNUMBER(Table1[[#This Row],[طريقه الدفع ]]), "كاش",Table1[[#This Row],[طريقه الدفع ]])</f>
        <v>مسبق الدفع</v>
      </c>
      <c r="O41" t="s">
        <v>14</v>
      </c>
      <c r="P41">
        <f>IF(OR(Table1[[#This Row],[مدة التسليم (الفعلية)]]=0,Table1[[#This Row],[مدة التسليم (المفترضة)]]=0),0,IF(Table1[[#This Row],[مدة التسليم (الفعلية)]]&gt;Table1[[#This Row],[مدة التسليم (المفترضة)]],"تأخير","قبل الموعد"))</f>
        <v>0</v>
      </c>
      <c r="Q41">
        <f>IF(OR(ISBLANK(Table1[[#This Row],[تاريخ التسليم]]),ISBLANK(Table1[[#This Row],[ميعاد الطلب]])),0,Table1[[#This Row],[تاريخ التسليم]]-Table1[[#This Row],[ميعاد الطلب]])</f>
        <v>0</v>
      </c>
      <c r="R41" s="20">
        <f>IF(OR(ISBLANK(Table1[[#This Row],[ميعاد التسليم]]),ISBLANK(Table1[[#This Row],[ميعاد الطلب]])),0,Table1[[#This Row],[ميعاد التسليم]]-Table1[[#This Row],[ميعاد الطلب]])</f>
        <v>17</v>
      </c>
      <c r="S41" s="18">
        <v>45547</v>
      </c>
      <c r="T41" s="18">
        <v>45564</v>
      </c>
      <c r="U41" s="18"/>
      <c r="V41" t="s">
        <v>320</v>
      </c>
      <c r="W41" t="s">
        <v>191</v>
      </c>
    </row>
    <row r="42" spans="1:23" ht="20.100000000000001" customHeight="1" x14ac:dyDescent="0.25">
      <c r="A42" t="s">
        <v>70</v>
      </c>
      <c r="B42" t="s">
        <v>274</v>
      </c>
      <c r="C42" t="s">
        <v>347</v>
      </c>
      <c r="D42" t="s">
        <v>338</v>
      </c>
      <c r="E42" t="s">
        <v>71</v>
      </c>
      <c r="F42" t="s">
        <v>6</v>
      </c>
      <c r="G42" t="s">
        <v>141</v>
      </c>
      <c r="H42" t="s">
        <v>153</v>
      </c>
      <c r="I42" t="s">
        <v>146</v>
      </c>
      <c r="J42">
        <v>100</v>
      </c>
      <c r="K42" t="s">
        <v>328</v>
      </c>
      <c r="L42" t="s">
        <v>73</v>
      </c>
      <c r="M42">
        <v>11949</v>
      </c>
      <c r="N42" t="str">
        <f>IF(ISNUMBER(Table1[[#This Row],[طريقه الدفع ]]), "كاش",Table1[[#This Row],[طريقه الدفع ]])</f>
        <v>كاش</v>
      </c>
      <c r="O42">
        <v>10749</v>
      </c>
      <c r="P42" t="str">
        <f>IF(OR(Table1[[#This Row],[مدة التسليم (الفعلية)]]=0,Table1[[#This Row],[مدة التسليم (المفترضة)]]=0),0,IF(Table1[[#This Row],[مدة التسليم (الفعلية)]]&gt;Table1[[#This Row],[مدة التسليم (المفترضة)]],"تأخير","قبل الموعد"))</f>
        <v>تأخير</v>
      </c>
      <c r="Q42">
        <f>IF(OR(ISBLANK(Table1[[#This Row],[تاريخ التسليم]]),ISBLANK(Table1[[#This Row],[ميعاد الطلب]])),0,Table1[[#This Row],[تاريخ التسليم]]-Table1[[#This Row],[ميعاد الطلب]])</f>
        <v>20</v>
      </c>
      <c r="R42" s="20">
        <f>IF(OR(ISBLANK(Table1[[#This Row],[ميعاد التسليم]]),ISBLANK(Table1[[#This Row],[ميعاد الطلب]])),0,Table1[[#This Row],[ميعاد التسليم]]-Table1[[#This Row],[ميعاد الطلب]])</f>
        <v>17</v>
      </c>
      <c r="S42" s="18">
        <v>45547</v>
      </c>
      <c r="T42" s="18">
        <v>45564</v>
      </c>
      <c r="U42" s="18">
        <v>45567</v>
      </c>
      <c r="V42" t="s">
        <v>172</v>
      </c>
      <c r="W42" t="s">
        <v>171</v>
      </c>
    </row>
    <row r="43" spans="1:23" ht="20.100000000000001" customHeight="1" x14ac:dyDescent="0.25">
      <c r="A43" t="s">
        <v>70</v>
      </c>
      <c r="B43" t="s">
        <v>274</v>
      </c>
      <c r="C43" t="s">
        <v>347</v>
      </c>
      <c r="D43" t="s">
        <v>338</v>
      </c>
      <c r="E43" t="s">
        <v>71</v>
      </c>
      <c r="F43" t="s">
        <v>6</v>
      </c>
      <c r="G43" t="s">
        <v>141</v>
      </c>
      <c r="H43" t="s">
        <v>153</v>
      </c>
      <c r="I43" t="s">
        <v>146</v>
      </c>
      <c r="J43">
        <v>100</v>
      </c>
      <c r="K43" t="s">
        <v>328</v>
      </c>
      <c r="L43" t="s">
        <v>73</v>
      </c>
      <c r="M43">
        <v>11949</v>
      </c>
      <c r="N43" t="str">
        <f>IF(ISNUMBER(Table1[[#This Row],[طريقه الدفع ]]), "كاش",Table1[[#This Row],[طريقه الدفع ]])</f>
        <v>كاش</v>
      </c>
      <c r="O43">
        <v>10749</v>
      </c>
      <c r="P43" t="str">
        <f>IF(OR(Table1[[#This Row],[مدة التسليم (الفعلية)]]=0,Table1[[#This Row],[مدة التسليم (المفترضة)]]=0),0,IF(Table1[[#This Row],[مدة التسليم (الفعلية)]]&gt;Table1[[#This Row],[مدة التسليم (المفترضة)]],"تأخير","قبل الموعد"))</f>
        <v>تأخير</v>
      </c>
      <c r="Q43">
        <f>IF(OR(ISBLANK(Table1[[#This Row],[تاريخ التسليم]]),ISBLANK(Table1[[#This Row],[ميعاد الطلب]])),0,Table1[[#This Row],[تاريخ التسليم]]-Table1[[#This Row],[ميعاد الطلب]])</f>
        <v>20</v>
      </c>
      <c r="R43" s="20">
        <f>IF(OR(ISBLANK(Table1[[#This Row],[ميعاد التسليم]]),ISBLANK(Table1[[#This Row],[ميعاد الطلب]])),0,Table1[[#This Row],[ميعاد التسليم]]-Table1[[#This Row],[ميعاد الطلب]])</f>
        <v>17</v>
      </c>
      <c r="S43" s="18">
        <v>45547</v>
      </c>
      <c r="T43" s="18">
        <v>45564</v>
      </c>
      <c r="U43" s="18">
        <v>45567</v>
      </c>
      <c r="V43" t="s">
        <v>172</v>
      </c>
      <c r="W43" t="s">
        <v>171</v>
      </c>
    </row>
    <row r="44" spans="1:23" ht="20.100000000000001" customHeight="1" x14ac:dyDescent="0.25">
      <c r="A44" t="s">
        <v>29</v>
      </c>
      <c r="B44" t="s">
        <v>274</v>
      </c>
      <c r="C44" t="s">
        <v>347</v>
      </c>
      <c r="D44" t="s">
        <v>342</v>
      </c>
      <c r="E44" t="s">
        <v>82</v>
      </c>
      <c r="F44" t="s">
        <v>6</v>
      </c>
      <c r="G44" t="s">
        <v>141</v>
      </c>
      <c r="H44" t="s">
        <v>155</v>
      </c>
      <c r="I44" t="s">
        <v>146</v>
      </c>
      <c r="J44">
        <v>80</v>
      </c>
      <c r="K44" t="s">
        <v>326</v>
      </c>
      <c r="L44" t="s">
        <v>85</v>
      </c>
      <c r="M44">
        <v>16599</v>
      </c>
      <c r="N44" t="str">
        <f>IF(ISNUMBER(Table1[[#This Row],[طريقه الدفع ]]), "كاش",Table1[[#This Row],[طريقه الدفع ]])</f>
        <v>مسبق الدفع</v>
      </c>
      <c r="O44" t="s">
        <v>14</v>
      </c>
      <c r="P44" t="str">
        <f>IF(OR(Table1[[#This Row],[مدة التسليم (الفعلية)]]=0,Table1[[#This Row],[مدة التسليم (المفترضة)]]=0),0,IF(Table1[[#This Row],[مدة التسليم (الفعلية)]]&gt;Table1[[#This Row],[مدة التسليم (المفترضة)]],"تأخير","قبل الموعد"))</f>
        <v>تأخير</v>
      </c>
      <c r="Q44">
        <f>IF(OR(ISBLANK(Table1[[#This Row],[تاريخ التسليم]]),ISBLANK(Table1[[#This Row],[ميعاد الطلب]])),0,Table1[[#This Row],[تاريخ التسليم]]-Table1[[#This Row],[ميعاد الطلب]])</f>
        <v>20</v>
      </c>
      <c r="R44" s="20">
        <f>IF(OR(ISBLANK(Table1[[#This Row],[ميعاد التسليم]]),ISBLANK(Table1[[#This Row],[ميعاد الطلب]])),0,Table1[[#This Row],[ميعاد التسليم]]-Table1[[#This Row],[ميعاد الطلب]])</f>
        <v>17</v>
      </c>
      <c r="S44" s="18">
        <v>45548</v>
      </c>
      <c r="T44" s="18">
        <v>45565</v>
      </c>
      <c r="U44" s="18">
        <v>45568</v>
      </c>
      <c r="V44" t="s">
        <v>172</v>
      </c>
      <c r="W44" t="s">
        <v>171</v>
      </c>
    </row>
    <row r="45" spans="1:23" ht="20.100000000000001" customHeight="1" x14ac:dyDescent="0.25">
      <c r="A45" t="s">
        <v>83</v>
      </c>
      <c r="B45" t="s">
        <v>274</v>
      </c>
      <c r="C45" t="s">
        <v>348</v>
      </c>
      <c r="D45" t="s">
        <v>341</v>
      </c>
      <c r="E45" t="s">
        <v>22</v>
      </c>
      <c r="F45" t="s">
        <v>6</v>
      </c>
      <c r="G45" t="s">
        <v>141</v>
      </c>
      <c r="H45" t="s">
        <v>153</v>
      </c>
      <c r="I45" t="s">
        <v>146</v>
      </c>
      <c r="J45">
        <v>80</v>
      </c>
      <c r="K45" t="s">
        <v>326</v>
      </c>
      <c r="L45" t="s">
        <v>84</v>
      </c>
      <c r="M45">
        <v>10999</v>
      </c>
      <c r="N45" t="str">
        <f>IF(ISNUMBER(Table1[[#This Row],[طريقه الدفع ]]), "كاش",Table1[[#This Row],[طريقه الدفع ]])</f>
        <v>مسبق الدفع</v>
      </c>
      <c r="O45" t="s">
        <v>14</v>
      </c>
      <c r="P45" t="str">
        <f>IF(OR(Table1[[#This Row],[مدة التسليم (الفعلية)]]=0,Table1[[#This Row],[مدة التسليم (المفترضة)]]=0),0,IF(Table1[[#This Row],[مدة التسليم (الفعلية)]]&gt;Table1[[#This Row],[مدة التسليم (المفترضة)]],"تأخير","قبل الموعد"))</f>
        <v>تأخير</v>
      </c>
      <c r="Q45">
        <f>IF(OR(ISBLANK(Table1[[#This Row],[تاريخ التسليم]]),ISBLANK(Table1[[#This Row],[ميعاد الطلب]])),0,Table1[[#This Row],[تاريخ التسليم]]-Table1[[#This Row],[ميعاد الطلب]])</f>
        <v>33</v>
      </c>
      <c r="R45" s="20">
        <f>IF(OR(ISBLANK(Table1[[#This Row],[ميعاد التسليم]]),ISBLANK(Table1[[#This Row],[ميعاد الطلب]])),0,Table1[[#This Row],[ميعاد التسليم]]-Table1[[#This Row],[ميعاد الطلب]])</f>
        <v>17</v>
      </c>
      <c r="S45" s="18">
        <v>45548</v>
      </c>
      <c r="T45" s="18">
        <v>45565</v>
      </c>
      <c r="U45" s="18">
        <v>45581</v>
      </c>
      <c r="V45" t="s">
        <v>24</v>
      </c>
      <c r="W45" t="s">
        <v>171</v>
      </c>
    </row>
    <row r="46" spans="1:23" ht="20.100000000000001" customHeight="1" x14ac:dyDescent="0.25">
      <c r="A46" t="s">
        <v>86</v>
      </c>
      <c r="B46" t="s">
        <v>274</v>
      </c>
      <c r="C46" t="s">
        <v>348</v>
      </c>
      <c r="D46" t="s">
        <v>183</v>
      </c>
      <c r="E46" t="s">
        <v>87</v>
      </c>
      <c r="F46" t="s">
        <v>6</v>
      </c>
      <c r="G46" t="s">
        <v>141</v>
      </c>
      <c r="H46" t="s">
        <v>153</v>
      </c>
      <c r="I46" t="s">
        <v>146</v>
      </c>
      <c r="J46">
        <v>140</v>
      </c>
      <c r="K46" t="s">
        <v>329</v>
      </c>
      <c r="L46" t="s">
        <v>88</v>
      </c>
      <c r="M46">
        <v>13099</v>
      </c>
      <c r="N46" t="str">
        <f>IF(ISNUMBER(Table1[[#This Row],[طريقه الدفع ]]), "كاش",Table1[[#This Row],[طريقه الدفع ]])</f>
        <v>مسبق الدفع</v>
      </c>
      <c r="O46" t="s">
        <v>14</v>
      </c>
      <c r="P46" t="str">
        <f>IF(OR(Table1[[#This Row],[مدة التسليم (الفعلية)]]=0,Table1[[#This Row],[مدة التسليم (المفترضة)]]=0),0,IF(Table1[[#This Row],[مدة التسليم (الفعلية)]]&gt;Table1[[#This Row],[مدة التسليم (المفترضة)]],"تأخير","قبل الموعد"))</f>
        <v>تأخير</v>
      </c>
      <c r="Q46">
        <f>IF(OR(ISBLANK(Table1[[#This Row],[تاريخ التسليم]]),ISBLANK(Table1[[#This Row],[ميعاد الطلب]])),0,Table1[[#This Row],[تاريخ التسليم]]-Table1[[#This Row],[ميعاد الطلب]])</f>
        <v>20</v>
      </c>
      <c r="R46" s="20">
        <f>IF(OR(ISBLANK(Table1[[#This Row],[ميعاد التسليم]]),ISBLANK(Table1[[#This Row],[ميعاد الطلب]])),0,Table1[[#This Row],[ميعاد التسليم]]-Table1[[#This Row],[ميعاد الطلب]])</f>
        <v>17</v>
      </c>
      <c r="S46" s="18">
        <v>45548</v>
      </c>
      <c r="T46" s="18">
        <v>45565</v>
      </c>
      <c r="U46" s="18">
        <v>45568</v>
      </c>
      <c r="V46" t="s">
        <v>24</v>
      </c>
      <c r="W46" t="s">
        <v>171</v>
      </c>
    </row>
    <row r="47" spans="1:23" ht="20.100000000000001" customHeight="1" x14ac:dyDescent="0.25">
      <c r="A47" t="s">
        <v>91</v>
      </c>
      <c r="B47" t="s">
        <v>274</v>
      </c>
      <c r="C47" t="s">
        <v>347</v>
      </c>
      <c r="D47" t="s">
        <v>338</v>
      </c>
      <c r="E47" t="s">
        <v>34</v>
      </c>
      <c r="F47" t="s">
        <v>6</v>
      </c>
      <c r="G47" t="s">
        <v>141</v>
      </c>
      <c r="H47" t="s">
        <v>153</v>
      </c>
      <c r="I47" t="s">
        <v>145</v>
      </c>
      <c r="J47">
        <v>120</v>
      </c>
      <c r="K47" t="s">
        <v>334</v>
      </c>
      <c r="L47" t="s">
        <v>92</v>
      </c>
      <c r="M47">
        <v>13849</v>
      </c>
      <c r="N47" t="str">
        <f>IF(ISNUMBER(Table1[[#This Row],[طريقه الدفع ]]), "كاش",Table1[[#This Row],[طريقه الدفع ]])</f>
        <v>مسبق الدفع</v>
      </c>
      <c r="O47" t="s">
        <v>14</v>
      </c>
      <c r="P47" t="str">
        <f>IF(OR(Table1[[#This Row],[مدة التسليم (الفعلية)]]=0,Table1[[#This Row],[مدة التسليم (المفترضة)]]=0),0,IF(Table1[[#This Row],[مدة التسليم (الفعلية)]]&gt;Table1[[#This Row],[مدة التسليم (المفترضة)]],"تأخير","قبل الموعد"))</f>
        <v>تأخير</v>
      </c>
      <c r="Q47">
        <f>IF(OR(ISBLANK(Table1[[#This Row],[تاريخ التسليم]]),ISBLANK(Table1[[#This Row],[ميعاد الطلب]])),0,Table1[[#This Row],[تاريخ التسليم]]-Table1[[#This Row],[ميعاد الطلب]])</f>
        <v>37</v>
      </c>
      <c r="R47" s="20">
        <f>IF(OR(ISBLANK(Table1[[#This Row],[ميعاد التسليم]]),ISBLANK(Table1[[#This Row],[ميعاد الطلب]])),0,Table1[[#This Row],[ميعاد التسليم]]-Table1[[#This Row],[ميعاد الطلب]])</f>
        <v>17</v>
      </c>
      <c r="S47" s="18">
        <v>45548</v>
      </c>
      <c r="T47" s="18">
        <v>45565</v>
      </c>
      <c r="U47" s="18">
        <v>45585</v>
      </c>
      <c r="V47" t="s">
        <v>172</v>
      </c>
      <c r="W47" t="s">
        <v>171</v>
      </c>
    </row>
    <row r="48" spans="1:23" ht="20.100000000000001" customHeight="1" x14ac:dyDescent="0.25">
      <c r="A48" t="s">
        <v>95</v>
      </c>
      <c r="B48" t="s">
        <v>274</v>
      </c>
      <c r="C48" t="s">
        <v>348</v>
      </c>
      <c r="D48" t="s">
        <v>342</v>
      </c>
      <c r="E48" t="s">
        <v>96</v>
      </c>
      <c r="F48" t="s">
        <v>6</v>
      </c>
      <c r="G48" t="s">
        <v>141</v>
      </c>
      <c r="H48" t="s">
        <v>152</v>
      </c>
      <c r="I48"/>
      <c r="J48" t="s">
        <v>327</v>
      </c>
      <c r="K48" t="s">
        <v>330</v>
      </c>
      <c r="L48" t="s">
        <v>97</v>
      </c>
      <c r="M48">
        <v>21999</v>
      </c>
      <c r="N48" t="str">
        <f>IF(ISNUMBER(Table1[[#This Row],[طريقه الدفع ]]), "كاش",Table1[[#This Row],[طريقه الدفع ]])</f>
        <v>مسبق الدفع</v>
      </c>
      <c r="O48" t="s">
        <v>14</v>
      </c>
      <c r="P48">
        <f>IF(OR(Table1[[#This Row],[مدة التسليم (الفعلية)]]=0,Table1[[#This Row],[مدة التسليم (المفترضة)]]=0),0,IF(Table1[[#This Row],[مدة التسليم (الفعلية)]]&gt;Table1[[#This Row],[مدة التسليم (المفترضة)]],"تأخير","قبل الموعد"))</f>
        <v>0</v>
      </c>
      <c r="Q48">
        <f>IF(OR(ISBLANK(Table1[[#This Row],[تاريخ التسليم]]),ISBLANK(Table1[[#This Row],[ميعاد الطلب]])),0,Table1[[#This Row],[تاريخ التسليم]]-Table1[[#This Row],[ميعاد الطلب]])</f>
        <v>0</v>
      </c>
      <c r="R48" s="20">
        <f>IF(OR(ISBLANK(Table1[[#This Row],[ميعاد التسليم]]),ISBLANK(Table1[[#This Row],[ميعاد الطلب]])),0,Table1[[#This Row],[ميعاد التسليم]]-Table1[[#This Row],[ميعاد الطلب]])</f>
        <v>17</v>
      </c>
      <c r="S48" s="18">
        <v>45548</v>
      </c>
      <c r="T48" s="18">
        <v>45565</v>
      </c>
      <c r="U48" s="18"/>
      <c r="V48" t="s">
        <v>172</v>
      </c>
      <c r="W48" t="s">
        <v>171</v>
      </c>
    </row>
    <row r="49" spans="1:23" ht="20.100000000000001" customHeight="1" x14ac:dyDescent="0.25">
      <c r="A49" t="s">
        <v>102</v>
      </c>
      <c r="B49" t="s">
        <v>274</v>
      </c>
      <c r="C49" t="s">
        <v>348</v>
      </c>
      <c r="D49" t="s">
        <v>338</v>
      </c>
      <c r="E49" t="s">
        <v>34</v>
      </c>
      <c r="F49" t="s">
        <v>6</v>
      </c>
      <c r="G49" t="s">
        <v>141</v>
      </c>
      <c r="H49" t="s">
        <v>153</v>
      </c>
      <c r="I49" t="s">
        <v>146</v>
      </c>
      <c r="J49">
        <v>80</v>
      </c>
      <c r="K49" t="s">
        <v>326</v>
      </c>
      <c r="L49" t="s">
        <v>84</v>
      </c>
      <c r="M49">
        <v>10999</v>
      </c>
      <c r="N49" t="str">
        <f>IF(ISNUMBER(Table1[[#This Row],[طريقه الدفع ]]), "كاش",Table1[[#This Row],[طريقه الدفع ]])</f>
        <v>مسبق الدفع</v>
      </c>
      <c r="O49" t="s">
        <v>14</v>
      </c>
      <c r="P49" t="str">
        <f>IF(OR(Table1[[#This Row],[مدة التسليم (الفعلية)]]=0,Table1[[#This Row],[مدة التسليم (المفترضة)]]=0),0,IF(Table1[[#This Row],[مدة التسليم (الفعلية)]]&gt;Table1[[#This Row],[مدة التسليم (المفترضة)]],"تأخير","قبل الموعد"))</f>
        <v>تأخير</v>
      </c>
      <c r="Q49">
        <f>IF(OR(ISBLANK(Table1[[#This Row],[تاريخ التسليم]]),ISBLANK(Table1[[#This Row],[ميعاد الطلب]])),0,Table1[[#This Row],[تاريخ التسليم]]-Table1[[#This Row],[ميعاد الطلب]])</f>
        <v>32</v>
      </c>
      <c r="R49" s="20">
        <f>IF(OR(ISBLANK(Table1[[#This Row],[ميعاد التسليم]]),ISBLANK(Table1[[#This Row],[ميعاد الطلب]])),0,Table1[[#This Row],[ميعاد التسليم]]-Table1[[#This Row],[ميعاد الطلب]])</f>
        <v>17</v>
      </c>
      <c r="S49" s="18">
        <v>45548</v>
      </c>
      <c r="T49" s="18">
        <v>45565</v>
      </c>
      <c r="U49" s="18">
        <v>45580</v>
      </c>
      <c r="V49" t="s">
        <v>172</v>
      </c>
      <c r="W49" t="s">
        <v>171</v>
      </c>
    </row>
    <row r="50" spans="1:23" ht="20.100000000000001" customHeight="1" x14ac:dyDescent="0.25">
      <c r="A50" t="s">
        <v>103</v>
      </c>
      <c r="B50" t="s">
        <v>274</v>
      </c>
      <c r="C50" t="s">
        <v>347</v>
      </c>
      <c r="D50" t="s">
        <v>342</v>
      </c>
      <c r="E50" t="s">
        <v>101</v>
      </c>
      <c r="F50" t="s">
        <v>6</v>
      </c>
      <c r="G50" t="s">
        <v>141</v>
      </c>
      <c r="H50" t="s">
        <v>155</v>
      </c>
      <c r="I50" t="s">
        <v>146</v>
      </c>
      <c r="J50">
        <v>90</v>
      </c>
      <c r="K50" t="s">
        <v>328</v>
      </c>
      <c r="L50" t="s">
        <v>104</v>
      </c>
      <c r="M50">
        <v>17249</v>
      </c>
      <c r="N50" t="str">
        <f>IF(ISNUMBER(Table1[[#This Row],[طريقه الدفع ]]), "كاش",Table1[[#This Row],[طريقه الدفع ]])</f>
        <v>مسبق الدفع</v>
      </c>
      <c r="O50" t="s">
        <v>14</v>
      </c>
      <c r="P50" t="str">
        <f>IF(OR(Table1[[#This Row],[مدة التسليم (الفعلية)]]=0,Table1[[#This Row],[مدة التسليم (المفترضة)]]=0),0,IF(Table1[[#This Row],[مدة التسليم (الفعلية)]]&gt;Table1[[#This Row],[مدة التسليم (المفترضة)]],"تأخير","قبل الموعد"))</f>
        <v>تأخير</v>
      </c>
      <c r="Q50">
        <f>IF(OR(ISBLANK(Table1[[#This Row],[تاريخ التسليم]]),ISBLANK(Table1[[#This Row],[ميعاد الطلب]])),0,Table1[[#This Row],[تاريخ التسليم]]-Table1[[#This Row],[ميعاد الطلب]])</f>
        <v>21</v>
      </c>
      <c r="R50" s="20">
        <f>IF(OR(ISBLANK(Table1[[#This Row],[ميعاد التسليم]]),ISBLANK(Table1[[#This Row],[ميعاد الطلب]])),0,Table1[[#This Row],[ميعاد التسليم]]-Table1[[#This Row],[ميعاد الطلب]])</f>
        <v>17</v>
      </c>
      <c r="S50" s="18">
        <v>45548</v>
      </c>
      <c r="T50" s="18">
        <v>45565</v>
      </c>
      <c r="U50" s="18">
        <v>45569</v>
      </c>
      <c r="V50" t="s">
        <v>172</v>
      </c>
      <c r="W50" t="s">
        <v>171</v>
      </c>
    </row>
    <row r="51" spans="1:23" ht="20.100000000000001" customHeight="1" x14ac:dyDescent="0.25">
      <c r="A51" t="s">
        <v>130</v>
      </c>
      <c r="B51" t="s">
        <v>274</v>
      </c>
      <c r="C51" t="s">
        <v>347</v>
      </c>
      <c r="D51" t="s">
        <v>338</v>
      </c>
      <c r="E51" t="s">
        <v>131</v>
      </c>
      <c r="F51" t="s">
        <v>6</v>
      </c>
      <c r="G51" t="s">
        <v>310</v>
      </c>
      <c r="H51" t="s">
        <v>165</v>
      </c>
      <c r="I51"/>
      <c r="J51" t="s">
        <v>327</v>
      </c>
      <c r="K51" t="s">
        <v>330</v>
      </c>
      <c r="L51" t="s">
        <v>132</v>
      </c>
      <c r="M51">
        <v>8349</v>
      </c>
      <c r="N51" t="str">
        <f>IF(ISNUMBER(Table1[[#This Row],[طريقه الدفع ]]), "كاش",Table1[[#This Row],[طريقه الدفع ]])</f>
        <v>مسبق الدفع</v>
      </c>
      <c r="O51" t="s">
        <v>14</v>
      </c>
      <c r="P51" t="str">
        <f>IF(OR(Table1[[#This Row],[مدة التسليم (الفعلية)]]=0,Table1[[#This Row],[مدة التسليم (المفترضة)]]=0),0,IF(Table1[[#This Row],[مدة التسليم (الفعلية)]]&gt;Table1[[#This Row],[مدة التسليم (المفترضة)]],"تأخير","قبل الموعد"))</f>
        <v>تأخير</v>
      </c>
      <c r="Q51">
        <f>IF(OR(ISBLANK(Table1[[#This Row],[تاريخ التسليم]]),ISBLANK(Table1[[#This Row],[ميعاد الطلب]])),0,Table1[[#This Row],[تاريخ التسليم]]-Table1[[#This Row],[ميعاد الطلب]])</f>
        <v>37</v>
      </c>
      <c r="R51" s="20">
        <f>IF(OR(ISBLANK(Table1[[#This Row],[ميعاد التسليم]]),ISBLANK(Table1[[#This Row],[ميعاد الطلب]])),0,Table1[[#This Row],[ميعاد التسليم]]-Table1[[#This Row],[ميعاد الطلب]])</f>
        <v>32</v>
      </c>
      <c r="S51" s="18">
        <v>45549</v>
      </c>
      <c r="T51" s="18">
        <v>45581</v>
      </c>
      <c r="U51" s="18">
        <v>45586</v>
      </c>
      <c r="V51" t="s">
        <v>172</v>
      </c>
      <c r="W51" t="s">
        <v>171</v>
      </c>
    </row>
    <row r="52" spans="1:23" ht="20.100000000000001" customHeight="1" x14ac:dyDescent="0.25">
      <c r="A52" t="s">
        <v>110</v>
      </c>
      <c r="B52" t="s">
        <v>274</v>
      </c>
      <c r="C52" t="s">
        <v>347</v>
      </c>
      <c r="D52" t="s">
        <v>310</v>
      </c>
      <c r="E52" t="s">
        <v>57</v>
      </c>
      <c r="F52" t="s">
        <v>6</v>
      </c>
      <c r="G52" t="s">
        <v>237</v>
      </c>
      <c r="H52" t="s">
        <v>166</v>
      </c>
      <c r="I52"/>
      <c r="J52" t="s">
        <v>327</v>
      </c>
      <c r="K52" t="s">
        <v>330</v>
      </c>
      <c r="L52" t="s">
        <v>23</v>
      </c>
      <c r="M52">
        <v>7849</v>
      </c>
      <c r="N52" t="str">
        <f>IF(ISNUMBER(Table1[[#This Row],[طريقه الدفع ]]), "كاش",Table1[[#This Row],[طريقه الدفع ]])</f>
        <v>مسبق الدفع</v>
      </c>
      <c r="O52" t="s">
        <v>14</v>
      </c>
      <c r="P52" t="str">
        <f>IF(OR(Table1[[#This Row],[مدة التسليم (الفعلية)]]=0,Table1[[#This Row],[مدة التسليم (المفترضة)]]=0),0,IF(Table1[[#This Row],[مدة التسليم (الفعلية)]]&gt;Table1[[#This Row],[مدة التسليم (المفترضة)]],"تأخير","قبل الموعد"))</f>
        <v>تأخير</v>
      </c>
      <c r="Q52">
        <f>IF(OR(ISBLANK(Table1[[#This Row],[تاريخ التسليم]]),ISBLANK(Table1[[#This Row],[ميعاد الطلب]])),0,Table1[[#This Row],[تاريخ التسليم]]-Table1[[#This Row],[ميعاد الطلب]])</f>
        <v>46</v>
      </c>
      <c r="R52" s="20">
        <f>IF(OR(ISBLANK(Table1[[#This Row],[ميعاد التسليم]]),ISBLANK(Table1[[#This Row],[ميعاد الطلب]])),0,Table1[[#This Row],[ميعاد التسليم]]-Table1[[#This Row],[ميعاد الطلب]])</f>
        <v>45</v>
      </c>
      <c r="S52" s="18">
        <v>45549</v>
      </c>
      <c r="T52" s="18">
        <v>45594</v>
      </c>
      <c r="U52" s="18">
        <v>45595</v>
      </c>
      <c r="V52" t="s">
        <v>172</v>
      </c>
      <c r="W52" t="s">
        <v>171</v>
      </c>
    </row>
    <row r="53" spans="1:23" ht="20.100000000000001" customHeight="1" x14ac:dyDescent="0.25">
      <c r="A53" t="s">
        <v>111</v>
      </c>
      <c r="B53" t="s">
        <v>274</v>
      </c>
      <c r="C53" t="s">
        <v>348</v>
      </c>
      <c r="D53" t="s">
        <v>338</v>
      </c>
      <c r="E53" t="s">
        <v>34</v>
      </c>
      <c r="F53" t="s">
        <v>6</v>
      </c>
      <c r="G53" t="s">
        <v>141</v>
      </c>
      <c r="H53" t="s">
        <v>142</v>
      </c>
      <c r="I53"/>
      <c r="J53" t="s">
        <v>327</v>
      </c>
      <c r="K53" t="s">
        <v>328</v>
      </c>
      <c r="L53" t="s">
        <v>112</v>
      </c>
      <c r="M53">
        <v>9399</v>
      </c>
      <c r="N53" t="str">
        <f>IF(ISNUMBER(Table1[[#This Row],[طريقه الدفع ]]), "كاش",Table1[[#This Row],[طريقه الدفع ]])</f>
        <v>مسبق الدفع</v>
      </c>
      <c r="O53" t="s">
        <v>14</v>
      </c>
      <c r="P53"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53">
        <f>IF(OR(ISBLANK(Table1[[#This Row],[تاريخ التسليم]]),ISBLANK(Table1[[#This Row],[ميعاد الطلب]])),0,Table1[[#This Row],[تاريخ التسليم]]-Table1[[#This Row],[ميعاد الطلب]])</f>
        <v>31</v>
      </c>
      <c r="R53" s="20">
        <f>IF(OR(ISBLANK(Table1[[#This Row],[ميعاد التسليم]]),ISBLANK(Table1[[#This Row],[ميعاد الطلب]])),0,Table1[[#This Row],[ميعاد التسليم]]-Table1[[#This Row],[ميعاد الطلب]])</f>
        <v>45</v>
      </c>
      <c r="S53" s="18">
        <v>45549</v>
      </c>
      <c r="T53" s="18">
        <v>45594</v>
      </c>
      <c r="U53" s="18">
        <v>45580</v>
      </c>
      <c r="V53" t="s">
        <v>172</v>
      </c>
      <c r="W53" t="s">
        <v>171</v>
      </c>
    </row>
    <row r="54" spans="1:23" ht="20.100000000000001" customHeight="1" x14ac:dyDescent="0.25">
      <c r="A54" t="s">
        <v>113</v>
      </c>
      <c r="B54" t="s">
        <v>274</v>
      </c>
      <c r="C54" t="s">
        <v>347</v>
      </c>
      <c r="D54" t="s">
        <v>338</v>
      </c>
      <c r="E54" t="s">
        <v>114</v>
      </c>
      <c r="F54" t="s">
        <v>6</v>
      </c>
      <c r="G54" t="s">
        <v>141</v>
      </c>
      <c r="H54" t="s">
        <v>144</v>
      </c>
      <c r="I54" t="s">
        <v>147</v>
      </c>
      <c r="J54">
        <v>140</v>
      </c>
      <c r="K54" t="s">
        <v>328</v>
      </c>
      <c r="L54" t="s">
        <v>115</v>
      </c>
      <c r="M54">
        <v>11817</v>
      </c>
      <c r="N54" t="str">
        <f>IF(ISNUMBER(Table1[[#This Row],[طريقه الدفع ]]), "كاش",Table1[[#This Row],[طريقه الدفع ]])</f>
        <v>مسبق الدفع</v>
      </c>
      <c r="O54" t="s">
        <v>14</v>
      </c>
      <c r="P54"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54">
        <f>IF(OR(ISBLANK(Table1[[#This Row],[تاريخ التسليم]]),ISBLANK(Table1[[#This Row],[ميعاد الطلب]])),0,Table1[[#This Row],[تاريخ التسليم]]-Table1[[#This Row],[ميعاد الطلب]])</f>
        <v>31</v>
      </c>
      <c r="R54" s="20">
        <f>IF(OR(ISBLANK(Table1[[#This Row],[ميعاد التسليم]]),ISBLANK(Table1[[#This Row],[ميعاد الطلب]])),0,Table1[[#This Row],[ميعاد التسليم]]-Table1[[#This Row],[ميعاد الطلب]])</f>
        <v>45</v>
      </c>
      <c r="S54" s="18">
        <v>45549</v>
      </c>
      <c r="T54" s="18">
        <v>45594</v>
      </c>
      <c r="U54" s="18">
        <v>45580</v>
      </c>
      <c r="V54" t="s">
        <v>172</v>
      </c>
      <c r="W54" t="s">
        <v>171</v>
      </c>
    </row>
    <row r="55" spans="1:23" ht="20.100000000000001" customHeight="1" x14ac:dyDescent="0.25">
      <c r="A55" t="s">
        <v>116</v>
      </c>
      <c r="B55" t="s">
        <v>274</v>
      </c>
      <c r="C55" t="s">
        <v>276</v>
      </c>
      <c r="D55" t="s">
        <v>342</v>
      </c>
      <c r="E55" t="s">
        <v>82</v>
      </c>
      <c r="F55" t="s">
        <v>6</v>
      </c>
      <c r="G55" t="s">
        <v>310</v>
      </c>
      <c r="H55" t="s">
        <v>167</v>
      </c>
      <c r="I55"/>
      <c r="J55" t="s">
        <v>327</v>
      </c>
      <c r="K55" t="s">
        <v>330</v>
      </c>
      <c r="L55" t="s">
        <v>117</v>
      </c>
      <c r="M55">
        <v>8349</v>
      </c>
      <c r="N55" t="str">
        <f>IF(ISNUMBER(Table1[[#This Row],[طريقه الدفع ]]), "كاش",Table1[[#This Row],[طريقه الدفع ]])</f>
        <v>مسبق الدفع</v>
      </c>
      <c r="O55" t="s">
        <v>14</v>
      </c>
      <c r="P55"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55">
        <f>IF(OR(ISBLANK(Table1[[#This Row],[تاريخ التسليم]]),ISBLANK(Table1[[#This Row],[ميعاد الطلب]])),0,Table1[[#This Row],[تاريخ التسليم]]-Table1[[#This Row],[ميعاد الطلب]])</f>
        <v>35</v>
      </c>
      <c r="R55" s="20">
        <f>IF(OR(ISBLANK(Table1[[#This Row],[ميعاد التسليم]]),ISBLANK(Table1[[#This Row],[ميعاد الطلب]])),0,Table1[[#This Row],[ميعاد التسليم]]-Table1[[#This Row],[ميعاد الطلب]])</f>
        <v>45</v>
      </c>
      <c r="S55" s="18">
        <v>45549</v>
      </c>
      <c r="T55" s="18">
        <v>45594</v>
      </c>
      <c r="U55" s="18">
        <v>45584</v>
      </c>
      <c r="V55" t="s">
        <v>172</v>
      </c>
      <c r="W55" t="s">
        <v>171</v>
      </c>
    </row>
    <row r="56" spans="1:23" ht="20.100000000000001" customHeight="1" x14ac:dyDescent="0.25">
      <c r="A56" t="s">
        <v>120</v>
      </c>
      <c r="B56" t="s">
        <v>274</v>
      </c>
      <c r="C56" t="s">
        <v>347</v>
      </c>
      <c r="D56" t="s">
        <v>342</v>
      </c>
      <c r="E56" t="s">
        <v>121</v>
      </c>
      <c r="F56" t="s">
        <v>6</v>
      </c>
      <c r="G56" t="s">
        <v>141</v>
      </c>
      <c r="H56" t="s">
        <v>144</v>
      </c>
      <c r="I56" t="s">
        <v>159</v>
      </c>
      <c r="J56">
        <v>120</v>
      </c>
      <c r="K56" t="s">
        <v>326</v>
      </c>
      <c r="L56" t="s">
        <v>122</v>
      </c>
      <c r="M56">
        <v>17886</v>
      </c>
      <c r="N56" t="str">
        <f>IF(ISNUMBER(Table1[[#This Row],[طريقه الدفع ]]), "كاش",Table1[[#This Row],[طريقه الدفع ]])</f>
        <v>مسبق الدفع</v>
      </c>
      <c r="O56" t="s">
        <v>14</v>
      </c>
      <c r="P56">
        <f>IF(OR(Table1[[#This Row],[مدة التسليم (الفعلية)]]=0,Table1[[#This Row],[مدة التسليم (المفترضة)]]=0),0,IF(Table1[[#This Row],[مدة التسليم (الفعلية)]]&gt;Table1[[#This Row],[مدة التسليم (المفترضة)]],"تأخير","قبل الموعد"))</f>
        <v>0</v>
      </c>
      <c r="Q56">
        <f>IF(OR(ISBLANK(Table1[[#This Row],[تاريخ التسليم]]),ISBLANK(Table1[[#This Row],[ميعاد الطلب]])),0,Table1[[#This Row],[تاريخ التسليم]]-Table1[[#This Row],[ميعاد الطلب]])</f>
        <v>0</v>
      </c>
      <c r="R56" s="20">
        <f>IF(OR(ISBLANK(Table1[[#This Row],[ميعاد التسليم]]),ISBLANK(Table1[[#This Row],[ميعاد الطلب]])),0,Table1[[#This Row],[ميعاد التسليم]]-Table1[[#This Row],[ميعاد الطلب]])</f>
        <v>45</v>
      </c>
      <c r="S56" s="18">
        <v>45549</v>
      </c>
      <c r="T56" s="18">
        <v>45594</v>
      </c>
      <c r="U56" s="18"/>
      <c r="V56" t="s">
        <v>320</v>
      </c>
      <c r="W56" t="s">
        <v>191</v>
      </c>
    </row>
    <row r="57" spans="1:23" ht="20.100000000000001" customHeight="1" x14ac:dyDescent="0.25">
      <c r="A57" t="s">
        <v>120</v>
      </c>
      <c r="B57" t="s">
        <v>274</v>
      </c>
      <c r="C57" t="s">
        <v>347</v>
      </c>
      <c r="D57" t="s">
        <v>342</v>
      </c>
      <c r="E57" t="s">
        <v>121</v>
      </c>
      <c r="F57" t="s">
        <v>6</v>
      </c>
      <c r="G57" t="s">
        <v>141</v>
      </c>
      <c r="H57" t="s">
        <v>144</v>
      </c>
      <c r="I57" t="s">
        <v>159</v>
      </c>
      <c r="J57">
        <v>120</v>
      </c>
      <c r="K57" t="s">
        <v>326</v>
      </c>
      <c r="L57" t="s">
        <v>122</v>
      </c>
      <c r="M57">
        <v>17886</v>
      </c>
      <c r="N57" t="str">
        <f>IF(ISNUMBER(Table1[[#This Row],[طريقه الدفع ]]), "كاش",Table1[[#This Row],[طريقه الدفع ]])</f>
        <v>مسبق الدفع</v>
      </c>
      <c r="O57" t="s">
        <v>14</v>
      </c>
      <c r="P57">
        <f>IF(OR(Table1[[#This Row],[مدة التسليم (الفعلية)]]=0,Table1[[#This Row],[مدة التسليم (المفترضة)]]=0),0,IF(Table1[[#This Row],[مدة التسليم (الفعلية)]]&gt;Table1[[#This Row],[مدة التسليم (المفترضة)]],"تأخير","قبل الموعد"))</f>
        <v>0</v>
      </c>
      <c r="Q57">
        <f>IF(OR(ISBLANK(Table1[[#This Row],[تاريخ التسليم]]),ISBLANK(Table1[[#This Row],[ميعاد الطلب]])),0,Table1[[#This Row],[تاريخ التسليم]]-Table1[[#This Row],[ميعاد الطلب]])</f>
        <v>0</v>
      </c>
      <c r="R57" s="20">
        <f>IF(OR(ISBLANK(Table1[[#This Row],[ميعاد التسليم]]),ISBLANK(Table1[[#This Row],[ميعاد الطلب]])),0,Table1[[#This Row],[ميعاد التسليم]]-Table1[[#This Row],[ميعاد الطلب]])</f>
        <v>45</v>
      </c>
      <c r="S57" s="18">
        <v>45549</v>
      </c>
      <c r="T57" s="18">
        <v>45594</v>
      </c>
      <c r="U57" s="18"/>
      <c r="V57" t="s">
        <v>320</v>
      </c>
      <c r="W57" t="s">
        <v>191</v>
      </c>
    </row>
    <row r="58" spans="1:23" ht="20.100000000000001" customHeight="1" x14ac:dyDescent="0.25">
      <c r="A58" t="s">
        <v>123</v>
      </c>
      <c r="B58" t="s">
        <v>274</v>
      </c>
      <c r="C58" t="s">
        <v>348</v>
      </c>
      <c r="D58" t="s">
        <v>342</v>
      </c>
      <c r="E58" t="s">
        <v>62</v>
      </c>
      <c r="F58" t="s">
        <v>6</v>
      </c>
      <c r="G58" t="s">
        <v>141</v>
      </c>
      <c r="H58" t="s">
        <v>144</v>
      </c>
      <c r="I58" t="s">
        <v>147</v>
      </c>
      <c r="J58">
        <v>120</v>
      </c>
      <c r="K58" t="s">
        <v>326</v>
      </c>
      <c r="L58" t="s">
        <v>124</v>
      </c>
      <c r="M58">
        <v>10987</v>
      </c>
      <c r="N58" t="str">
        <f>IF(ISNUMBER(Table1[[#This Row],[طريقه الدفع ]]), "كاش",Table1[[#This Row],[طريقه الدفع ]])</f>
        <v>مسبق الدفع</v>
      </c>
      <c r="O58" t="s">
        <v>14</v>
      </c>
      <c r="P58"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58">
        <f>IF(OR(ISBLANK(Table1[[#This Row],[تاريخ التسليم]]),ISBLANK(Table1[[#This Row],[ميعاد الطلب]])),0,Table1[[#This Row],[تاريخ التسليم]]-Table1[[#This Row],[ميعاد الطلب]])</f>
        <v>29</v>
      </c>
      <c r="R58" s="20">
        <f>IF(OR(ISBLANK(Table1[[#This Row],[ميعاد التسليم]]),ISBLANK(Table1[[#This Row],[ميعاد الطلب]])),0,Table1[[#This Row],[ميعاد التسليم]]-Table1[[#This Row],[ميعاد الطلب]])</f>
        <v>45</v>
      </c>
      <c r="S58" s="18">
        <v>45549</v>
      </c>
      <c r="T58" s="18">
        <v>45594</v>
      </c>
      <c r="U58" s="18">
        <v>45578</v>
      </c>
      <c r="V58" t="s">
        <v>172</v>
      </c>
      <c r="W58" t="s">
        <v>171</v>
      </c>
    </row>
    <row r="59" spans="1:23" ht="20.100000000000001" customHeight="1" x14ac:dyDescent="0.25">
      <c r="A59" t="s">
        <v>123</v>
      </c>
      <c r="B59" t="s">
        <v>274</v>
      </c>
      <c r="C59" t="s">
        <v>348</v>
      </c>
      <c r="D59" t="s">
        <v>342</v>
      </c>
      <c r="E59" t="s">
        <v>62</v>
      </c>
      <c r="F59" t="s">
        <v>6</v>
      </c>
      <c r="G59" t="s">
        <v>141</v>
      </c>
      <c r="H59" t="s">
        <v>144</v>
      </c>
      <c r="I59" t="s">
        <v>147</v>
      </c>
      <c r="J59">
        <v>120</v>
      </c>
      <c r="K59" t="s">
        <v>326</v>
      </c>
      <c r="L59" t="s">
        <v>124</v>
      </c>
      <c r="M59">
        <v>10987</v>
      </c>
      <c r="N59" t="str">
        <f>IF(ISNUMBER(Table1[[#This Row],[طريقه الدفع ]]), "كاش",Table1[[#This Row],[طريقه الدفع ]])</f>
        <v>مسبق الدفع</v>
      </c>
      <c r="O59" t="s">
        <v>14</v>
      </c>
      <c r="P59"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59">
        <f>IF(OR(ISBLANK(Table1[[#This Row],[تاريخ التسليم]]),ISBLANK(Table1[[#This Row],[ميعاد الطلب]])),0,Table1[[#This Row],[تاريخ التسليم]]-Table1[[#This Row],[ميعاد الطلب]])</f>
        <v>29</v>
      </c>
      <c r="R59" s="20">
        <f>IF(OR(ISBLANK(Table1[[#This Row],[ميعاد التسليم]]),ISBLANK(Table1[[#This Row],[ميعاد الطلب]])),0,Table1[[#This Row],[ميعاد التسليم]]-Table1[[#This Row],[ميعاد الطلب]])</f>
        <v>45</v>
      </c>
      <c r="S59" s="18">
        <v>45549</v>
      </c>
      <c r="T59" s="18">
        <v>45594</v>
      </c>
      <c r="U59" s="18">
        <v>45578</v>
      </c>
      <c r="V59" t="s">
        <v>172</v>
      </c>
      <c r="W59" t="s">
        <v>171</v>
      </c>
    </row>
    <row r="60" spans="1:23" ht="20.100000000000001" customHeight="1" x14ac:dyDescent="0.25">
      <c r="A60" t="s">
        <v>126</v>
      </c>
      <c r="B60" t="s">
        <v>274</v>
      </c>
      <c r="C60" t="s">
        <v>347</v>
      </c>
      <c r="D60" t="s">
        <v>343</v>
      </c>
      <c r="E60" t="s">
        <v>127</v>
      </c>
      <c r="F60" t="s">
        <v>6</v>
      </c>
      <c r="G60" t="s">
        <v>237</v>
      </c>
      <c r="H60" t="s">
        <v>165</v>
      </c>
      <c r="I60"/>
      <c r="J60" t="s">
        <v>327</v>
      </c>
      <c r="K60" t="s">
        <v>330</v>
      </c>
      <c r="L60" t="s">
        <v>58</v>
      </c>
      <c r="M60">
        <v>10319</v>
      </c>
      <c r="N60" t="str">
        <f>IF(ISNUMBER(Table1[[#This Row],[طريقه الدفع ]]), "كاش",Table1[[#This Row],[طريقه الدفع ]])</f>
        <v>مسبق الدفع</v>
      </c>
      <c r="O60" t="s">
        <v>14</v>
      </c>
      <c r="P60"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60">
        <f>IF(OR(ISBLANK(Table1[[#This Row],[تاريخ التسليم]]),ISBLANK(Table1[[#This Row],[ميعاد الطلب]])),0,Table1[[#This Row],[تاريخ التسليم]]-Table1[[#This Row],[ميعاد الطلب]])</f>
        <v>35</v>
      </c>
      <c r="R60" s="20">
        <f>IF(OR(ISBLANK(Table1[[#This Row],[ميعاد التسليم]]),ISBLANK(Table1[[#This Row],[ميعاد الطلب]])),0,Table1[[#This Row],[ميعاد التسليم]]-Table1[[#This Row],[ميعاد الطلب]])</f>
        <v>45</v>
      </c>
      <c r="S60" s="18">
        <v>45549</v>
      </c>
      <c r="T60" s="18">
        <v>45594</v>
      </c>
      <c r="U60" s="18">
        <v>45584</v>
      </c>
      <c r="V60" t="s">
        <v>172</v>
      </c>
      <c r="W60" t="s">
        <v>171</v>
      </c>
    </row>
    <row r="61" spans="1:23" ht="20.100000000000001" customHeight="1" x14ac:dyDescent="0.25">
      <c r="A61" t="s">
        <v>105</v>
      </c>
      <c r="B61" t="s">
        <v>274</v>
      </c>
      <c r="C61" t="s">
        <v>347</v>
      </c>
      <c r="D61" t="s">
        <v>344</v>
      </c>
      <c r="E61" t="s">
        <v>106</v>
      </c>
      <c r="F61" t="s">
        <v>6</v>
      </c>
      <c r="G61" t="s">
        <v>141</v>
      </c>
      <c r="H61" t="s">
        <v>153</v>
      </c>
      <c r="I61" t="s">
        <v>146</v>
      </c>
      <c r="J61">
        <v>120</v>
      </c>
      <c r="K61" t="s">
        <v>331</v>
      </c>
      <c r="L61" t="s">
        <v>107</v>
      </c>
      <c r="M61">
        <v>12999</v>
      </c>
      <c r="N61" t="str">
        <f>IF(ISNUMBER(Table1[[#This Row],[طريقه الدفع ]]), "كاش",Table1[[#This Row],[طريقه الدفع ]])</f>
        <v>مسبق الدفع</v>
      </c>
      <c r="O61" t="s">
        <v>14</v>
      </c>
      <c r="P61"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61">
        <f>IF(OR(ISBLANK(Table1[[#This Row],[تاريخ التسليم]]),ISBLANK(Table1[[#This Row],[ميعاد الطلب]])),0,Table1[[#This Row],[تاريخ التسليم]]-Table1[[#This Row],[ميعاد الطلب]])</f>
        <v>33</v>
      </c>
      <c r="R61" s="20">
        <f>IF(OR(ISBLANK(Table1[[#This Row],[ميعاد التسليم]]),ISBLANK(Table1[[#This Row],[ميعاد الطلب]])),0,Table1[[#This Row],[ميعاد التسليم]]-Table1[[#This Row],[ميعاد الطلب]])</f>
        <v>67</v>
      </c>
      <c r="S61" s="18">
        <v>45549</v>
      </c>
      <c r="T61" s="18">
        <v>45616</v>
      </c>
      <c r="U61" s="18">
        <v>45582</v>
      </c>
      <c r="V61" t="s">
        <v>24</v>
      </c>
      <c r="W61" t="s">
        <v>171</v>
      </c>
    </row>
    <row r="62" spans="1:23" ht="20.100000000000001" customHeight="1" x14ac:dyDescent="0.25">
      <c r="A62" t="s">
        <v>108</v>
      </c>
      <c r="B62" t="s">
        <v>274</v>
      </c>
      <c r="C62" t="s">
        <v>347</v>
      </c>
      <c r="D62" t="s">
        <v>341</v>
      </c>
      <c r="E62" t="s">
        <v>109</v>
      </c>
      <c r="F62" t="s">
        <v>6</v>
      </c>
      <c r="G62" t="s">
        <v>141</v>
      </c>
      <c r="H62" t="s">
        <v>152</v>
      </c>
      <c r="I62"/>
      <c r="J62" t="s">
        <v>327</v>
      </c>
      <c r="K62" t="s">
        <v>330</v>
      </c>
      <c r="L62" t="s">
        <v>97</v>
      </c>
      <c r="M62">
        <v>21999</v>
      </c>
      <c r="N62" t="str">
        <f>IF(ISNUMBER(Table1[[#This Row],[طريقه الدفع ]]), "كاش",Table1[[#This Row],[طريقه الدفع ]])</f>
        <v>مسبق الدفع</v>
      </c>
      <c r="O62" t="s">
        <v>14</v>
      </c>
      <c r="P62">
        <f>IF(OR(Table1[[#This Row],[مدة التسليم (الفعلية)]]=0,Table1[[#This Row],[مدة التسليم (المفترضة)]]=0),0,IF(Table1[[#This Row],[مدة التسليم (الفعلية)]]&gt;Table1[[#This Row],[مدة التسليم (المفترضة)]],"تأخير","قبل الموعد"))</f>
        <v>0</v>
      </c>
      <c r="Q62">
        <f>IF(OR(ISBLANK(Table1[[#This Row],[تاريخ التسليم]]),ISBLANK(Table1[[#This Row],[ميعاد الطلب]])),0,Table1[[#This Row],[تاريخ التسليم]]-Table1[[#This Row],[ميعاد الطلب]])</f>
        <v>0</v>
      </c>
      <c r="R62" s="20">
        <f>IF(OR(ISBLANK(Table1[[#This Row],[ميعاد التسليم]]),ISBLANK(Table1[[#This Row],[ميعاد الطلب]])),0,Table1[[#This Row],[ميعاد التسليم]]-Table1[[#This Row],[ميعاد الطلب]])</f>
        <v>67</v>
      </c>
      <c r="S62" s="18">
        <v>45549</v>
      </c>
      <c r="T62" s="18">
        <v>45616</v>
      </c>
      <c r="U62" s="18"/>
      <c r="V62" t="s">
        <v>320</v>
      </c>
      <c r="W62" t="s">
        <v>191</v>
      </c>
    </row>
    <row r="63" spans="1:23" ht="20.100000000000001" customHeight="1" x14ac:dyDescent="0.25">
      <c r="A63" t="s">
        <v>118</v>
      </c>
      <c r="B63" t="s">
        <v>274</v>
      </c>
      <c r="C63" t="s">
        <v>347</v>
      </c>
      <c r="D63" t="s">
        <v>342</v>
      </c>
      <c r="E63" t="s">
        <v>82</v>
      </c>
      <c r="F63" t="s">
        <v>6</v>
      </c>
      <c r="G63" t="s">
        <v>141</v>
      </c>
      <c r="H63" t="s">
        <v>153</v>
      </c>
      <c r="I63" t="s">
        <v>143</v>
      </c>
      <c r="J63">
        <v>100</v>
      </c>
      <c r="K63" t="s">
        <v>331</v>
      </c>
      <c r="L63" t="s">
        <v>119</v>
      </c>
      <c r="M63">
        <v>12399</v>
      </c>
      <c r="N63" t="str">
        <f>IF(ISNUMBER(Table1[[#This Row],[طريقه الدفع ]]), "كاش",Table1[[#This Row],[طريقه الدفع ]])</f>
        <v>مسبق الدفع</v>
      </c>
      <c r="O63" t="s">
        <v>14</v>
      </c>
      <c r="P63"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63">
        <f>IF(OR(ISBLANK(Table1[[#This Row],[تاريخ التسليم]]),ISBLANK(Table1[[#This Row],[ميعاد الطلب]])),0,Table1[[#This Row],[تاريخ التسليم]]-Table1[[#This Row],[ميعاد الطلب]])</f>
        <v>17</v>
      </c>
      <c r="R63" s="20">
        <f>IF(OR(ISBLANK(Table1[[#This Row],[ميعاد التسليم]]),ISBLANK(Table1[[#This Row],[ميعاد الطلب]])),0,Table1[[#This Row],[ميعاد التسليم]]-Table1[[#This Row],[ميعاد الطلب]])</f>
        <v>67</v>
      </c>
      <c r="S63" s="18">
        <v>45549</v>
      </c>
      <c r="T63" s="18">
        <v>45616</v>
      </c>
      <c r="U63" s="18">
        <v>45566</v>
      </c>
      <c r="V63" t="s">
        <v>24</v>
      </c>
      <c r="W63" t="s">
        <v>171</v>
      </c>
    </row>
    <row r="64" spans="1:23" ht="20.100000000000001" customHeight="1" x14ac:dyDescent="0.25">
      <c r="A64" t="s">
        <v>125</v>
      </c>
      <c r="B64" t="s">
        <v>274</v>
      </c>
      <c r="C64" t="s">
        <v>348</v>
      </c>
      <c r="D64" t="s">
        <v>342</v>
      </c>
      <c r="E64" t="s">
        <v>62</v>
      </c>
      <c r="F64" t="s">
        <v>6</v>
      </c>
      <c r="G64" t="s">
        <v>141</v>
      </c>
      <c r="H64" t="s">
        <v>152</v>
      </c>
      <c r="I64"/>
      <c r="J64" t="s">
        <v>327</v>
      </c>
      <c r="K64" t="s">
        <v>330</v>
      </c>
      <c r="L64" t="s">
        <v>97</v>
      </c>
      <c r="M64">
        <v>21999</v>
      </c>
      <c r="N64" t="str">
        <f>IF(ISNUMBER(Table1[[#This Row],[طريقه الدفع ]]), "كاش",Table1[[#This Row],[طريقه الدفع ]])</f>
        <v>مسبق الدفع</v>
      </c>
      <c r="O64" t="s">
        <v>14</v>
      </c>
      <c r="P64"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64">
        <f>IF(OR(ISBLANK(Table1[[#This Row],[تاريخ التسليم]]),ISBLANK(Table1[[#This Row],[ميعاد الطلب]])),0,Table1[[#This Row],[تاريخ التسليم]]-Table1[[#This Row],[ميعاد الطلب]])</f>
        <v>25</v>
      </c>
      <c r="R64" s="20">
        <f>IF(OR(ISBLANK(Table1[[#This Row],[ميعاد التسليم]]),ISBLANK(Table1[[#This Row],[ميعاد الطلب]])),0,Table1[[#This Row],[ميعاد التسليم]]-Table1[[#This Row],[ميعاد الطلب]])</f>
        <v>67</v>
      </c>
      <c r="S64" s="18">
        <v>45549</v>
      </c>
      <c r="T64" s="18">
        <v>45616</v>
      </c>
      <c r="U64" s="18">
        <v>45574</v>
      </c>
      <c r="V64" t="s">
        <v>172</v>
      </c>
      <c r="W64" t="s">
        <v>171</v>
      </c>
    </row>
    <row r="65" spans="1:23" ht="20.100000000000001" customHeight="1" x14ac:dyDescent="0.25">
      <c r="A65" t="s">
        <v>128</v>
      </c>
      <c r="B65" t="s">
        <v>274</v>
      </c>
      <c r="C65" t="s">
        <v>347</v>
      </c>
      <c r="D65" t="s">
        <v>310</v>
      </c>
      <c r="E65" t="s">
        <v>57</v>
      </c>
      <c r="F65" t="s">
        <v>6</v>
      </c>
      <c r="G65" t="s">
        <v>141</v>
      </c>
      <c r="H65" t="s">
        <v>153</v>
      </c>
      <c r="I65" t="s">
        <v>143</v>
      </c>
      <c r="J65">
        <v>80</v>
      </c>
      <c r="K65" t="s">
        <v>326</v>
      </c>
      <c r="L65" t="s">
        <v>129</v>
      </c>
      <c r="M65">
        <v>10999</v>
      </c>
      <c r="N65" t="str">
        <f>IF(ISNUMBER(Table1[[#This Row],[طريقه الدفع ]]), "كاش",Table1[[#This Row],[طريقه الدفع ]])</f>
        <v>مسبق الدفع</v>
      </c>
      <c r="O65" t="s">
        <v>14</v>
      </c>
      <c r="P65"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65">
        <f>IF(OR(ISBLANK(Table1[[#This Row],[تاريخ التسليم]]),ISBLANK(Table1[[#This Row],[ميعاد الطلب]])),0,Table1[[#This Row],[تاريخ التسليم]]-Table1[[#This Row],[ميعاد الطلب]])</f>
        <v>32</v>
      </c>
      <c r="R65" s="20">
        <f>IF(OR(ISBLANK(Table1[[#This Row],[ميعاد التسليم]]),ISBLANK(Table1[[#This Row],[ميعاد الطلب]])),0,Table1[[#This Row],[ميعاد التسليم]]-Table1[[#This Row],[ميعاد الطلب]])</f>
        <v>67</v>
      </c>
      <c r="S65" s="18">
        <v>45549</v>
      </c>
      <c r="T65" s="18">
        <v>45616</v>
      </c>
      <c r="U65" s="18">
        <v>45581</v>
      </c>
      <c r="V65" t="s">
        <v>172</v>
      </c>
      <c r="W65" t="s">
        <v>171</v>
      </c>
    </row>
    <row r="66" spans="1:23" ht="20.100000000000001" customHeight="1" x14ac:dyDescent="0.25">
      <c r="A66" t="s">
        <v>161</v>
      </c>
      <c r="B66" t="s">
        <v>274</v>
      </c>
      <c r="C66" t="s">
        <v>347</v>
      </c>
      <c r="D66" t="s">
        <v>310</v>
      </c>
      <c r="E66" t="s">
        <v>162</v>
      </c>
      <c r="F66" t="s">
        <v>6</v>
      </c>
      <c r="G66" t="s">
        <v>141</v>
      </c>
      <c r="H66" t="s">
        <v>153</v>
      </c>
      <c r="I66" t="s">
        <v>146</v>
      </c>
      <c r="J66">
        <v>80</v>
      </c>
      <c r="K66" t="s">
        <v>326</v>
      </c>
      <c r="L66" t="s">
        <v>336</v>
      </c>
      <c r="M66">
        <v>10999</v>
      </c>
      <c r="N66" t="str">
        <f>IF(ISNUMBER(Table1[[#This Row],[طريقه الدفع ]]), "كاش",Table1[[#This Row],[طريقه الدفع ]])</f>
        <v>مسبق الدفع</v>
      </c>
      <c r="O66" t="s">
        <v>14</v>
      </c>
      <c r="P66"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66">
        <f>IF(OR(ISBLANK(Table1[[#This Row],[تاريخ التسليم]]),ISBLANK(Table1[[#This Row],[ميعاد الطلب]])),0,Table1[[#This Row],[تاريخ التسليم]]-Table1[[#This Row],[ميعاد الطلب]])</f>
        <v>31</v>
      </c>
      <c r="R66" s="20">
        <f>IF(OR(ISBLANK(Table1[[#This Row],[ميعاد التسليم]]),ISBLANK(Table1[[#This Row],[ميعاد الطلب]])),0,Table1[[#This Row],[ميعاد التسليم]]-Table1[[#This Row],[ميعاد الطلب]])</f>
        <v>66</v>
      </c>
      <c r="S66" s="18">
        <f>DATE(2024,9,15)</f>
        <v>45550</v>
      </c>
      <c r="T66" s="18">
        <v>45616</v>
      </c>
      <c r="U66" s="18">
        <v>45581</v>
      </c>
      <c r="V66" t="s">
        <v>172</v>
      </c>
      <c r="W66" t="s">
        <v>171</v>
      </c>
    </row>
    <row r="67" spans="1:23" ht="20.100000000000001" customHeight="1" x14ac:dyDescent="0.25">
      <c r="A67" t="s">
        <v>161</v>
      </c>
      <c r="B67" t="s">
        <v>274</v>
      </c>
      <c r="C67" t="s">
        <v>347</v>
      </c>
      <c r="D67" t="s">
        <v>310</v>
      </c>
      <c r="E67" t="s">
        <v>162</v>
      </c>
      <c r="F67" t="s">
        <v>6</v>
      </c>
      <c r="G67" t="s">
        <v>141</v>
      </c>
      <c r="H67" t="s">
        <v>153</v>
      </c>
      <c r="I67" t="s">
        <v>146</v>
      </c>
      <c r="J67">
        <v>80</v>
      </c>
      <c r="K67" t="s">
        <v>326</v>
      </c>
      <c r="L67"/>
      <c r="M67">
        <v>10999</v>
      </c>
      <c r="N67" t="str">
        <f>IF(ISNUMBER(Table1[[#This Row],[طريقه الدفع ]]), "كاش",Table1[[#This Row],[طريقه الدفع ]])</f>
        <v>مسبق الدفع</v>
      </c>
      <c r="O67" t="s">
        <v>14</v>
      </c>
      <c r="P67"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67">
        <f>IF(OR(ISBLANK(Table1[[#This Row],[تاريخ التسليم]]),ISBLANK(Table1[[#This Row],[ميعاد الطلب]])),0,Table1[[#This Row],[تاريخ التسليم]]-Table1[[#This Row],[ميعاد الطلب]])</f>
        <v>31</v>
      </c>
      <c r="R67" s="20">
        <f>IF(OR(ISBLANK(Table1[[#This Row],[ميعاد التسليم]]),ISBLANK(Table1[[#This Row],[ميعاد الطلب]])),0,Table1[[#This Row],[ميعاد التسليم]]-Table1[[#This Row],[ميعاد الطلب]])</f>
        <v>66</v>
      </c>
      <c r="S67" s="18">
        <f t="shared" ref="S67:S68" si="0">DATE(2024,9,15)</f>
        <v>45550</v>
      </c>
      <c r="T67" s="18">
        <v>45616</v>
      </c>
      <c r="U67" s="18">
        <v>45581</v>
      </c>
      <c r="V67" t="s">
        <v>172</v>
      </c>
      <c r="W67" t="s">
        <v>171</v>
      </c>
    </row>
    <row r="68" spans="1:23" ht="20.100000000000001" customHeight="1" x14ac:dyDescent="0.25">
      <c r="A68" t="s">
        <v>163</v>
      </c>
      <c r="B68" t="s">
        <v>274</v>
      </c>
      <c r="C68" t="s">
        <v>347</v>
      </c>
      <c r="D68" t="s">
        <v>310</v>
      </c>
      <c r="E68" t="s">
        <v>164</v>
      </c>
      <c r="F68" t="s">
        <v>6</v>
      </c>
      <c r="G68" t="s">
        <v>150</v>
      </c>
      <c r="H68" t="s">
        <v>152</v>
      </c>
      <c r="I68"/>
      <c r="J68"/>
      <c r="K68" t="s">
        <v>328</v>
      </c>
      <c r="L68"/>
      <c r="M68">
        <v>21999</v>
      </c>
      <c r="N68" t="str">
        <f>IF(ISNUMBER(Table1[[#This Row],[طريقه الدفع ]]), "كاش",Table1[[#This Row],[طريقه الدفع ]])</f>
        <v>مسبق الدفع</v>
      </c>
      <c r="O68" t="s">
        <v>14</v>
      </c>
      <c r="P68"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68">
        <f>IF(OR(ISBLANK(Table1[[#This Row],[تاريخ التسليم]]),ISBLANK(Table1[[#This Row],[ميعاد الطلب]])),0,Table1[[#This Row],[تاريخ التسليم]]-Table1[[#This Row],[ميعاد الطلب]])</f>
        <v>34</v>
      </c>
      <c r="R68" s="20">
        <f>IF(OR(ISBLANK(Table1[[#This Row],[ميعاد التسليم]]),ISBLANK(Table1[[#This Row],[ميعاد الطلب]])),0,Table1[[#This Row],[ميعاد التسليم]]-Table1[[#This Row],[ميعاد الطلب]])</f>
        <v>66</v>
      </c>
      <c r="S68" s="18">
        <f t="shared" si="0"/>
        <v>45550</v>
      </c>
      <c r="T68" s="18">
        <v>45616</v>
      </c>
      <c r="U68" s="18">
        <v>45584</v>
      </c>
      <c r="V68" t="s">
        <v>172</v>
      </c>
      <c r="W68" t="s">
        <v>171</v>
      </c>
    </row>
    <row r="69" spans="1:23" ht="20.100000000000001" customHeight="1" x14ac:dyDescent="0.25">
      <c r="A69" t="s">
        <v>170</v>
      </c>
      <c r="B69" t="s">
        <v>274</v>
      </c>
      <c r="C69" t="s">
        <v>347</v>
      </c>
      <c r="D69" t="s">
        <v>183</v>
      </c>
      <c r="E69" t="s">
        <v>136</v>
      </c>
      <c r="F69" t="s">
        <v>6</v>
      </c>
      <c r="G69" t="s">
        <v>237</v>
      </c>
      <c r="H69" t="s">
        <v>165</v>
      </c>
      <c r="I69"/>
      <c r="J69"/>
      <c r="K69"/>
      <c r="L69"/>
      <c r="M69">
        <v>7849</v>
      </c>
      <c r="N69" t="str">
        <f>IF(ISNUMBER(Table1[[#This Row],[طريقه الدفع ]]), "كاش",Table1[[#This Row],[طريقه الدفع ]])</f>
        <v>كاش</v>
      </c>
      <c r="O69">
        <v>6306</v>
      </c>
      <c r="P69" t="str">
        <f>IF(OR(Table1[[#This Row],[مدة التسليم (الفعلية)]]=0,Table1[[#This Row],[مدة التسليم (المفترضة)]]=0),0,IF(Table1[[#This Row],[مدة التسليم (الفعلية)]]&gt;Table1[[#This Row],[مدة التسليم (المفترضة)]],"تأخير","قبل الموعد"))</f>
        <v>تأخير</v>
      </c>
      <c r="Q69">
        <f>IF(OR(ISBLANK(Table1[[#This Row],[تاريخ التسليم]]),ISBLANK(Table1[[#This Row],[ميعاد الطلب]])),0,Table1[[#This Row],[تاريخ التسليم]]-Table1[[#This Row],[ميعاد الطلب]])</f>
        <v>59</v>
      </c>
      <c r="R69" s="20">
        <f>IF(OR(ISBLANK(Table1[[#This Row],[ميعاد التسليم]]),ISBLANK(Table1[[#This Row],[ميعاد الطلب]])),0,Table1[[#This Row],[ميعاد التسليم]]-Table1[[#This Row],[ميعاد الطلب]])</f>
        <v>44</v>
      </c>
      <c r="S69" s="18">
        <f>DATE(2024,9,16)</f>
        <v>45551</v>
      </c>
      <c r="T69" s="18">
        <v>45595</v>
      </c>
      <c r="U69" s="18">
        <v>45610</v>
      </c>
      <c r="V69" t="s">
        <v>24</v>
      </c>
      <c r="W69" t="s">
        <v>171</v>
      </c>
    </row>
    <row r="70" spans="1:23" ht="20.100000000000001" customHeight="1" x14ac:dyDescent="0.25">
      <c r="A70" t="s">
        <v>77</v>
      </c>
      <c r="B70" t="s">
        <v>276</v>
      </c>
      <c r="C70" t="s">
        <v>276</v>
      </c>
      <c r="D70" t="s">
        <v>343</v>
      </c>
      <c r="E70" t="s">
        <v>173</v>
      </c>
      <c r="F70" t="s">
        <v>51</v>
      </c>
      <c r="G70" t="s">
        <v>141</v>
      </c>
      <c r="H70" t="s">
        <v>153</v>
      </c>
      <c r="I70" t="s">
        <v>146</v>
      </c>
      <c r="J70">
        <v>80</v>
      </c>
      <c r="K70" t="s">
        <v>326</v>
      </c>
      <c r="L70"/>
      <c r="M70">
        <v>5074</v>
      </c>
      <c r="N70" t="str">
        <f>IF(ISNUMBER(Table1[[#This Row],[طريقه الدفع ]]), "كاش",Table1[[#This Row],[طريقه الدفع ]])</f>
        <v>حساب شركه</v>
      </c>
      <c r="O70" t="s">
        <v>79</v>
      </c>
      <c r="P70" t="str">
        <f>IF(OR(Table1[[#This Row],[مدة التسليم (الفعلية)]]=0,Table1[[#This Row],[مدة التسليم (المفترضة)]]=0),0,IF(Table1[[#This Row],[مدة التسليم (الفعلية)]]&gt;Table1[[#This Row],[مدة التسليم (المفترضة)]],"تأخير","قبل الموعد"))</f>
        <v>تأخير</v>
      </c>
      <c r="Q70">
        <f>IF(OR(ISBLANK(Table1[[#This Row],[تاريخ التسليم]]),ISBLANK(Table1[[#This Row],[ميعاد الطلب]])),0,Table1[[#This Row],[تاريخ التسليم]]-Table1[[#This Row],[ميعاد الطلب]])</f>
        <v>21</v>
      </c>
      <c r="R70" s="20">
        <f>IF(OR(ISBLANK(Table1[[#This Row],[ميعاد التسليم]]),ISBLANK(Table1[[#This Row],[ميعاد الطلب]])),0,Table1[[#This Row],[ميعاد التسليم]]-Table1[[#This Row],[ميعاد الطلب]])</f>
        <v>14</v>
      </c>
      <c r="S70" s="18">
        <v>45556</v>
      </c>
      <c r="T70" s="18">
        <v>45570</v>
      </c>
      <c r="U70" s="18">
        <v>45577</v>
      </c>
      <c r="V70" t="s">
        <v>172</v>
      </c>
      <c r="W70" t="s">
        <v>171</v>
      </c>
    </row>
    <row r="71" spans="1:23" ht="20.100000000000001" customHeight="1" x14ac:dyDescent="0.25">
      <c r="A71" t="s">
        <v>36</v>
      </c>
      <c r="B71" t="s">
        <v>276</v>
      </c>
      <c r="C71" t="s">
        <v>276</v>
      </c>
      <c r="D71" t="s">
        <v>342</v>
      </c>
      <c r="E71" t="s">
        <v>37</v>
      </c>
      <c r="F71" t="s">
        <v>38</v>
      </c>
      <c r="G71" t="s">
        <v>141</v>
      </c>
      <c r="H71" t="s">
        <v>153</v>
      </c>
      <c r="I71" t="s">
        <v>145</v>
      </c>
      <c r="J71">
        <v>100</v>
      </c>
      <c r="K71" t="s">
        <v>174</v>
      </c>
      <c r="L71"/>
      <c r="M71">
        <v>6250</v>
      </c>
      <c r="N71" t="str">
        <f>IF(ISNUMBER(Table1[[#This Row],[طريقه الدفع ]]), "كاش",Table1[[#This Row],[طريقه الدفع ]])</f>
        <v>حساب شركه</v>
      </c>
      <c r="O71" t="s">
        <v>79</v>
      </c>
      <c r="P71" t="str">
        <f>IF(OR(Table1[[#This Row],[مدة التسليم (الفعلية)]]=0,Table1[[#This Row],[مدة التسليم (المفترضة)]]=0),0,IF(Table1[[#This Row],[مدة التسليم (الفعلية)]]&gt;Table1[[#This Row],[مدة التسليم (المفترضة)]],"تأخير","قبل الموعد"))</f>
        <v>تأخير</v>
      </c>
      <c r="Q71">
        <f>IF(OR(ISBLANK(Table1[[#This Row],[تاريخ التسليم]]),ISBLANK(Table1[[#This Row],[ميعاد الطلب]])),0,Table1[[#This Row],[تاريخ التسليم]]-Table1[[#This Row],[ميعاد الطلب]])</f>
        <v>24</v>
      </c>
      <c r="R71" s="20">
        <f>IF(OR(ISBLANK(Table1[[#This Row],[ميعاد التسليم]]),ISBLANK(Table1[[#This Row],[ميعاد الطلب]])),0,Table1[[#This Row],[ميعاد التسليم]]-Table1[[#This Row],[ميعاد الطلب]])</f>
        <v>15</v>
      </c>
      <c r="S71" s="18">
        <v>45558</v>
      </c>
      <c r="T71" s="18">
        <v>45573</v>
      </c>
      <c r="U71" s="18">
        <v>45582</v>
      </c>
      <c r="V71" t="s">
        <v>172</v>
      </c>
      <c r="W71" t="s">
        <v>171</v>
      </c>
    </row>
    <row r="72" spans="1:23" ht="20.100000000000001" customHeight="1" x14ac:dyDescent="0.25">
      <c r="A72" t="s">
        <v>36</v>
      </c>
      <c r="B72" t="s">
        <v>276</v>
      </c>
      <c r="C72" t="s">
        <v>276</v>
      </c>
      <c r="D72" t="s">
        <v>342</v>
      </c>
      <c r="E72" t="s">
        <v>37</v>
      </c>
      <c r="F72" t="s">
        <v>38</v>
      </c>
      <c r="G72" t="s">
        <v>141</v>
      </c>
      <c r="H72" t="s">
        <v>153</v>
      </c>
      <c r="I72" t="s">
        <v>145</v>
      </c>
      <c r="J72">
        <v>100</v>
      </c>
      <c r="K72" t="s">
        <v>174</v>
      </c>
      <c r="L72"/>
      <c r="M72">
        <v>6250</v>
      </c>
      <c r="N72" t="str">
        <f>IF(ISNUMBER(Table1[[#This Row],[طريقه الدفع ]]), "كاش",Table1[[#This Row],[طريقه الدفع ]])</f>
        <v>حساب شركه</v>
      </c>
      <c r="O72" t="s">
        <v>79</v>
      </c>
      <c r="P72" t="str">
        <f>IF(OR(Table1[[#This Row],[مدة التسليم (الفعلية)]]=0,Table1[[#This Row],[مدة التسليم (المفترضة)]]=0),0,IF(Table1[[#This Row],[مدة التسليم (الفعلية)]]&gt;Table1[[#This Row],[مدة التسليم (المفترضة)]],"تأخير","قبل الموعد"))</f>
        <v>تأخير</v>
      </c>
      <c r="Q72">
        <f>IF(OR(ISBLANK(Table1[[#This Row],[تاريخ التسليم]]),ISBLANK(Table1[[#This Row],[ميعاد الطلب]])),0,Table1[[#This Row],[تاريخ التسليم]]-Table1[[#This Row],[ميعاد الطلب]])</f>
        <v>24</v>
      </c>
      <c r="R72" s="20">
        <f>IF(OR(ISBLANK(Table1[[#This Row],[ميعاد التسليم]]),ISBLANK(Table1[[#This Row],[ميعاد الطلب]])),0,Table1[[#This Row],[ميعاد التسليم]]-Table1[[#This Row],[ميعاد الطلب]])</f>
        <v>15</v>
      </c>
      <c r="S72" s="18">
        <v>45558</v>
      </c>
      <c r="T72" s="18">
        <v>45573</v>
      </c>
      <c r="U72" s="18">
        <v>45582</v>
      </c>
      <c r="V72" t="s">
        <v>172</v>
      </c>
      <c r="W72" t="s">
        <v>171</v>
      </c>
    </row>
    <row r="73" spans="1:23" ht="20.100000000000001" customHeight="1" x14ac:dyDescent="0.25">
      <c r="A73" t="s">
        <v>175</v>
      </c>
      <c r="B73" t="s">
        <v>274</v>
      </c>
      <c r="C73" t="s">
        <v>348</v>
      </c>
      <c r="D73" t="s">
        <v>342</v>
      </c>
      <c r="E73" t="s">
        <v>37</v>
      </c>
      <c r="F73" t="s">
        <v>6</v>
      </c>
      <c r="G73" t="s">
        <v>141</v>
      </c>
      <c r="H73" t="s">
        <v>144</v>
      </c>
      <c r="I73" t="s">
        <v>159</v>
      </c>
      <c r="J73">
        <v>120</v>
      </c>
      <c r="K73" t="s">
        <v>326</v>
      </c>
      <c r="L73"/>
      <c r="M73">
        <v>8943</v>
      </c>
      <c r="N73" t="str">
        <f>IF(ISNUMBER(Table1[[#This Row],[طريقه الدفع ]]), "كاش",Table1[[#This Row],[طريقه الدفع ]])</f>
        <v>كاش</v>
      </c>
      <c r="O73">
        <v>9033</v>
      </c>
      <c r="P73"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73">
        <f>IF(OR(ISBLANK(Table1[[#This Row],[تاريخ التسليم]]),ISBLANK(Table1[[#This Row],[ميعاد الطلب]])),0,Table1[[#This Row],[تاريخ التسليم]]-Table1[[#This Row],[ميعاد الطلب]])</f>
        <v>14</v>
      </c>
      <c r="R73" s="20">
        <f>IF(OR(ISBLANK(Table1[[#This Row],[ميعاد التسليم]]),ISBLANK(Table1[[#This Row],[ميعاد الطلب]])),0,Table1[[#This Row],[ميعاد التسليم]]-Table1[[#This Row],[ميعاد الطلب]])</f>
        <v>45</v>
      </c>
      <c r="S73" s="18">
        <v>45561</v>
      </c>
      <c r="T73" s="18">
        <v>45606</v>
      </c>
      <c r="U73" s="18">
        <v>45575</v>
      </c>
      <c r="V73" t="s">
        <v>172</v>
      </c>
      <c r="W73" t="s">
        <v>171</v>
      </c>
    </row>
    <row r="74" spans="1:23" ht="20.100000000000001" customHeight="1" x14ac:dyDescent="0.25">
      <c r="A74" t="s">
        <v>176</v>
      </c>
      <c r="B74" t="s">
        <v>274</v>
      </c>
      <c r="C74" t="s">
        <v>347</v>
      </c>
      <c r="D74" t="s">
        <v>338</v>
      </c>
      <c r="E74" t="s">
        <v>177</v>
      </c>
      <c r="F74" t="s">
        <v>6</v>
      </c>
      <c r="G74" t="s">
        <v>237</v>
      </c>
      <c r="H74" t="s">
        <v>167</v>
      </c>
      <c r="I74"/>
      <c r="J74"/>
      <c r="K74"/>
      <c r="L74"/>
      <c r="M74">
        <v>8349</v>
      </c>
      <c r="N74" t="str">
        <f>IF(ISNUMBER(Table1[[#This Row],[طريقه الدفع ]]), "كاش",Table1[[#This Row],[طريقه الدفع ]])</f>
        <v>كاش</v>
      </c>
      <c r="O74">
        <v>8433</v>
      </c>
      <c r="P74">
        <f>IF(OR(Table1[[#This Row],[مدة التسليم (الفعلية)]]=0,Table1[[#This Row],[مدة التسليم (المفترضة)]]=0),0,IF(Table1[[#This Row],[مدة التسليم (الفعلية)]]&gt;Table1[[#This Row],[مدة التسليم (المفترضة)]],"تأخير","قبل الموعد"))</f>
        <v>0</v>
      </c>
      <c r="Q74">
        <f>IF(OR(ISBLANK(Table1[[#This Row],[تاريخ التسليم]]),ISBLANK(Table1[[#This Row],[ميعاد الطلب]])),0,Table1[[#This Row],[تاريخ التسليم]]-Table1[[#This Row],[ميعاد الطلب]])</f>
        <v>0</v>
      </c>
      <c r="R74" s="20">
        <f>IF(OR(ISBLANK(Table1[[#This Row],[ميعاد التسليم]]),ISBLANK(Table1[[#This Row],[ميعاد الطلب]])),0,Table1[[#This Row],[ميعاد التسليم]]-Table1[[#This Row],[ميعاد الطلب]])</f>
        <v>45</v>
      </c>
      <c r="S74" s="18">
        <v>45561</v>
      </c>
      <c r="T74" s="18">
        <v>45606</v>
      </c>
      <c r="U74" s="18"/>
      <c r="V74" t="s">
        <v>320</v>
      </c>
      <c r="W74" t="s">
        <v>191</v>
      </c>
    </row>
    <row r="75" spans="1:23" ht="20.100000000000001" customHeight="1" x14ac:dyDescent="0.25">
      <c r="A75" t="s">
        <v>27</v>
      </c>
      <c r="B75" t="s">
        <v>276</v>
      </c>
      <c r="C75" t="s">
        <v>276</v>
      </c>
      <c r="D75" t="s">
        <v>342</v>
      </c>
      <c r="E75" t="s">
        <v>195</v>
      </c>
      <c r="F75" t="s">
        <v>47</v>
      </c>
      <c r="G75" t="s">
        <v>150</v>
      </c>
      <c r="H75" t="s">
        <v>179</v>
      </c>
      <c r="I75"/>
      <c r="J75"/>
      <c r="K75"/>
      <c r="L75"/>
      <c r="M75">
        <v>14950</v>
      </c>
      <c r="N75" t="str">
        <f>IF(ISNUMBER(Table1[[#This Row],[طريقه الدفع ]]), "كاش",Table1[[#This Row],[طريقه الدفع ]])</f>
        <v>مسبق الدفع</v>
      </c>
      <c r="O75" t="s">
        <v>14</v>
      </c>
      <c r="P75"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75">
        <f>IF(OR(ISBLANK(Table1[[#This Row],[تاريخ التسليم]]),ISBLANK(Table1[[#This Row],[ميعاد الطلب]])),0,Table1[[#This Row],[تاريخ التسليم]]-Table1[[#This Row],[ميعاد الطلب]])</f>
        <v>17</v>
      </c>
      <c r="R75" s="20">
        <f>IF(OR(ISBLANK(Table1[[#This Row],[ميعاد التسليم]]),ISBLANK(Table1[[#This Row],[ميعاد الطلب]])),0,Table1[[#This Row],[ميعاد التسليم]]-Table1[[#This Row],[ميعاد الطلب]])</f>
        <v>18</v>
      </c>
      <c r="S75" s="18">
        <v>45561</v>
      </c>
      <c r="T75" s="18">
        <v>45579</v>
      </c>
      <c r="U75" s="18">
        <v>45578</v>
      </c>
      <c r="V75" t="s">
        <v>172</v>
      </c>
      <c r="W75" t="s">
        <v>171</v>
      </c>
    </row>
    <row r="76" spans="1:23" ht="20.100000000000001" customHeight="1" x14ac:dyDescent="0.25">
      <c r="A76" t="s">
        <v>27</v>
      </c>
      <c r="B76" t="s">
        <v>276</v>
      </c>
      <c r="C76" t="s">
        <v>276</v>
      </c>
      <c r="D76"/>
      <c r="E76"/>
      <c r="F76" t="s">
        <v>47</v>
      </c>
      <c r="G76" t="s">
        <v>141</v>
      </c>
      <c r="H76" t="s">
        <v>153</v>
      </c>
      <c r="I76" t="s">
        <v>145</v>
      </c>
      <c r="J76">
        <v>100</v>
      </c>
      <c r="K76" t="s">
        <v>328</v>
      </c>
      <c r="L76"/>
      <c r="M76">
        <v>9208</v>
      </c>
      <c r="N76" t="str">
        <f>IF(ISNUMBER(Table1[[#This Row],[طريقه الدفع ]]), "كاش",Table1[[#This Row],[طريقه الدفع ]])</f>
        <v>كاش</v>
      </c>
      <c r="O76">
        <v>9608</v>
      </c>
      <c r="P76">
        <f>IF(OR(Table1[[#This Row],[مدة التسليم (الفعلية)]]=0,Table1[[#This Row],[مدة التسليم (المفترضة)]]=0),0,IF(Table1[[#This Row],[مدة التسليم (الفعلية)]]&gt;Table1[[#This Row],[مدة التسليم (المفترضة)]],"تأخير","قبل الموعد"))</f>
        <v>0</v>
      </c>
      <c r="Q76">
        <f>IF(OR(ISBLANK(Table1[[#This Row],[تاريخ التسليم]]),ISBLANK(Table1[[#This Row],[ميعاد الطلب]])),0,Table1[[#This Row],[تاريخ التسليم]]-Table1[[#This Row],[ميعاد الطلب]])</f>
        <v>0</v>
      </c>
      <c r="R76" s="20">
        <f>IF(OR(ISBLANK(Table1[[#This Row],[ميعاد التسليم]]),ISBLANK(Table1[[#This Row],[ميعاد الطلب]])),0,Table1[[#This Row],[ميعاد التسليم]]-Table1[[#This Row],[ميعاد الطلب]])</f>
        <v>18</v>
      </c>
      <c r="S76" s="18">
        <v>45561</v>
      </c>
      <c r="T76" s="18">
        <v>45579</v>
      </c>
      <c r="U76" s="18"/>
      <c r="V76" t="s">
        <v>320</v>
      </c>
      <c r="W76" t="s">
        <v>191</v>
      </c>
    </row>
    <row r="77" spans="1:23" ht="20.100000000000001" customHeight="1" x14ac:dyDescent="0.25">
      <c r="A77" t="s">
        <v>27</v>
      </c>
      <c r="B77" t="s">
        <v>276</v>
      </c>
      <c r="C77" t="s">
        <v>276</v>
      </c>
      <c r="D77"/>
      <c r="E77"/>
      <c r="F77" t="s">
        <v>47</v>
      </c>
      <c r="G77" t="s">
        <v>141</v>
      </c>
      <c r="H77" t="s">
        <v>144</v>
      </c>
      <c r="I77" t="s">
        <v>147</v>
      </c>
      <c r="J77">
        <v>120</v>
      </c>
      <c r="K77" t="s">
        <v>326</v>
      </c>
      <c r="L77"/>
      <c r="M77">
        <v>7433</v>
      </c>
      <c r="N77" t="str">
        <f>IF(ISNUMBER(Table1[[#This Row],[طريقه الدفع ]]), "كاش",Table1[[#This Row],[طريقه الدفع ]])</f>
        <v>مسبق الدفع</v>
      </c>
      <c r="O77" t="s">
        <v>14</v>
      </c>
      <c r="P77" t="str">
        <f>IF(OR(Table1[[#This Row],[مدة التسليم (الفعلية)]]=0,Table1[[#This Row],[مدة التسليم (المفترضة)]]=0),0,IF(Table1[[#This Row],[مدة التسليم (الفعلية)]]&gt;Table1[[#This Row],[مدة التسليم (المفترضة)]],"تأخير","قبل الموعد"))</f>
        <v>تأخير</v>
      </c>
      <c r="Q77">
        <f>IF(OR(ISBLANK(Table1[[#This Row],[تاريخ التسليم]]),ISBLANK(Table1[[#This Row],[ميعاد الطلب]])),0,Table1[[#This Row],[تاريخ التسليم]]-Table1[[#This Row],[ميعاد الطلب]])</f>
        <v>22</v>
      </c>
      <c r="R77" s="20">
        <f>IF(OR(ISBLANK(Table1[[#This Row],[ميعاد التسليم]]),ISBLANK(Table1[[#This Row],[ميعاد الطلب]])),0,Table1[[#This Row],[ميعاد التسليم]]-Table1[[#This Row],[ميعاد الطلب]])</f>
        <v>21</v>
      </c>
      <c r="S77" s="18">
        <v>45564</v>
      </c>
      <c r="T77" s="18">
        <v>45585</v>
      </c>
      <c r="U77" s="18">
        <v>45586</v>
      </c>
      <c r="V77" t="s">
        <v>172</v>
      </c>
      <c r="W77" t="s">
        <v>171</v>
      </c>
    </row>
    <row r="78" spans="1:23" ht="20.100000000000001" customHeight="1" x14ac:dyDescent="0.25">
      <c r="A78" t="s">
        <v>77</v>
      </c>
      <c r="B78" t="s">
        <v>276</v>
      </c>
      <c r="C78" t="s">
        <v>276</v>
      </c>
      <c r="D78" t="s">
        <v>343</v>
      </c>
      <c r="E78" t="s">
        <v>173</v>
      </c>
      <c r="F78" t="s">
        <v>51</v>
      </c>
      <c r="G78" t="s">
        <v>141</v>
      </c>
      <c r="H78" t="s">
        <v>144</v>
      </c>
      <c r="I78" t="s">
        <v>159</v>
      </c>
      <c r="J78">
        <v>120</v>
      </c>
      <c r="K78" t="s">
        <v>326</v>
      </c>
      <c r="L78"/>
      <c r="M78">
        <v>4020</v>
      </c>
      <c r="N78" t="str">
        <f>IF(ISNUMBER(Table1[[#This Row],[طريقه الدفع ]]), "كاش",Table1[[#This Row],[طريقه الدفع ]])</f>
        <v>حساب شركه</v>
      </c>
      <c r="O78" t="s">
        <v>79</v>
      </c>
      <c r="P78"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78">
        <f>IF(OR(ISBLANK(Table1[[#This Row],[تاريخ التسليم]]),ISBLANK(Table1[[#This Row],[ميعاد الطلب]])),0,Table1[[#This Row],[تاريخ التسليم]]-Table1[[#This Row],[ميعاد الطلب]])</f>
        <v>13</v>
      </c>
      <c r="R78" s="20">
        <f>IF(OR(ISBLANK(Table1[[#This Row],[ميعاد التسليم]]),ISBLANK(Table1[[#This Row],[ميعاد الطلب]])),0,Table1[[#This Row],[ميعاد التسليم]]-Table1[[#This Row],[ميعاد الطلب]])</f>
        <v>13</v>
      </c>
      <c r="S78" s="18">
        <v>45564</v>
      </c>
      <c r="T78" s="18">
        <v>45577</v>
      </c>
      <c r="U78" s="18">
        <v>45577</v>
      </c>
      <c r="V78" t="s">
        <v>172</v>
      </c>
      <c r="W78" t="s">
        <v>171</v>
      </c>
    </row>
    <row r="79" spans="1:23" ht="20.100000000000001" customHeight="1" x14ac:dyDescent="0.25">
      <c r="A79" t="s">
        <v>181</v>
      </c>
      <c r="B79" t="s">
        <v>274</v>
      </c>
      <c r="C79" t="s">
        <v>347</v>
      </c>
      <c r="D79" t="s">
        <v>183</v>
      </c>
      <c r="E79" t="s">
        <v>182</v>
      </c>
      <c r="F79" t="s">
        <v>183</v>
      </c>
      <c r="G79" t="s">
        <v>141</v>
      </c>
      <c r="H79" t="s">
        <v>153</v>
      </c>
      <c r="I79" t="s">
        <v>184</v>
      </c>
      <c r="J79">
        <v>100</v>
      </c>
      <c r="K79" t="s">
        <v>185</v>
      </c>
      <c r="L79"/>
      <c r="M79">
        <v>8544.9054400000005</v>
      </c>
      <c r="N79" t="s">
        <v>310</v>
      </c>
      <c r="O79"/>
      <c r="P79"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79">
        <f>IF(OR(ISBLANK(Table1[[#This Row],[تاريخ التسليم]]),ISBLANK(Table1[[#This Row],[ميعاد الطلب]])),0,Table1[[#This Row],[تاريخ التسليم]]-Table1[[#This Row],[ميعاد الطلب]])</f>
        <v>8</v>
      </c>
      <c r="R79" s="20">
        <f>IF(OR(ISBLANK(Table1[[#This Row],[ميعاد التسليم]]),ISBLANK(Table1[[#This Row],[ميعاد الطلب]])),0,Table1[[#This Row],[ميعاد التسليم]]-Table1[[#This Row],[ميعاد الطلب]])</f>
        <v>8</v>
      </c>
      <c r="S79" s="18">
        <v>45566</v>
      </c>
      <c r="T79" s="18">
        <v>45574</v>
      </c>
      <c r="U79" s="18">
        <v>45574</v>
      </c>
      <c r="V79" t="s">
        <v>193</v>
      </c>
      <c r="W79" t="s">
        <v>171</v>
      </c>
    </row>
    <row r="80" spans="1:23" ht="20.100000000000001" customHeight="1" x14ac:dyDescent="0.25">
      <c r="A80" t="s">
        <v>181</v>
      </c>
      <c r="B80" t="s">
        <v>274</v>
      </c>
      <c r="C80" t="s">
        <v>347</v>
      </c>
      <c r="D80" t="s">
        <v>183</v>
      </c>
      <c r="E80" t="s">
        <v>182</v>
      </c>
      <c r="F80" t="s">
        <v>183</v>
      </c>
      <c r="G80" t="s">
        <v>141</v>
      </c>
      <c r="H80" t="s">
        <v>142</v>
      </c>
      <c r="I80"/>
      <c r="J80"/>
      <c r="K80" t="s">
        <v>328</v>
      </c>
      <c r="L80"/>
      <c r="M80">
        <v>4600</v>
      </c>
      <c r="N80" t="s">
        <v>310</v>
      </c>
      <c r="O80"/>
      <c r="P80"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80">
        <f>IF(OR(ISBLANK(Table1[[#This Row],[تاريخ التسليم]]),ISBLANK(Table1[[#This Row],[ميعاد الطلب]])),0,Table1[[#This Row],[تاريخ التسليم]]-Table1[[#This Row],[ميعاد الطلب]])</f>
        <v>8</v>
      </c>
      <c r="R80" s="20">
        <f>IF(OR(ISBLANK(Table1[[#This Row],[ميعاد التسليم]]),ISBLANK(Table1[[#This Row],[ميعاد الطلب]])),0,Table1[[#This Row],[ميعاد التسليم]]-Table1[[#This Row],[ميعاد الطلب]])</f>
        <v>8</v>
      </c>
      <c r="S80" s="18">
        <v>45566</v>
      </c>
      <c r="T80" s="18">
        <v>45574</v>
      </c>
      <c r="U80" s="18">
        <v>45574</v>
      </c>
      <c r="V80" t="s">
        <v>193</v>
      </c>
      <c r="W80" t="s">
        <v>171</v>
      </c>
    </row>
    <row r="81" spans="1:23" ht="20.100000000000001" customHeight="1" x14ac:dyDescent="0.25">
      <c r="A81" t="s">
        <v>181</v>
      </c>
      <c r="B81" t="s">
        <v>274</v>
      </c>
      <c r="C81" t="s">
        <v>347</v>
      </c>
      <c r="D81" t="s">
        <v>183</v>
      </c>
      <c r="E81" t="s">
        <v>182</v>
      </c>
      <c r="F81" t="s">
        <v>183</v>
      </c>
      <c r="G81" t="s">
        <v>150</v>
      </c>
      <c r="H81" t="s">
        <v>186</v>
      </c>
      <c r="I81"/>
      <c r="J81"/>
      <c r="K81" t="s">
        <v>328</v>
      </c>
      <c r="L81"/>
      <c r="M81">
        <v>10000</v>
      </c>
      <c r="N81" t="s">
        <v>310</v>
      </c>
      <c r="O81"/>
      <c r="P81"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81">
        <f>IF(OR(ISBLANK(Table1[[#This Row],[تاريخ التسليم]]),ISBLANK(Table1[[#This Row],[ميعاد الطلب]])),0,Table1[[#This Row],[تاريخ التسليم]]-Table1[[#This Row],[ميعاد الطلب]])</f>
        <v>8</v>
      </c>
      <c r="R81" s="20">
        <f>IF(OR(ISBLANK(Table1[[#This Row],[ميعاد التسليم]]),ISBLANK(Table1[[#This Row],[ميعاد الطلب]])),0,Table1[[#This Row],[ميعاد التسليم]]-Table1[[#This Row],[ميعاد الطلب]])</f>
        <v>8</v>
      </c>
      <c r="S81" s="18">
        <v>45566</v>
      </c>
      <c r="T81" s="18">
        <v>45574</v>
      </c>
      <c r="U81" s="18">
        <v>45574</v>
      </c>
      <c r="V81" t="s">
        <v>193</v>
      </c>
      <c r="W81" t="s">
        <v>171</v>
      </c>
    </row>
    <row r="82" spans="1:23" ht="20.100000000000001" customHeight="1" x14ac:dyDescent="0.25">
      <c r="A82" t="s">
        <v>181</v>
      </c>
      <c r="B82" t="s">
        <v>274</v>
      </c>
      <c r="C82" t="s">
        <v>347</v>
      </c>
      <c r="D82" t="s">
        <v>183</v>
      </c>
      <c r="E82" t="s">
        <v>182</v>
      </c>
      <c r="F82" t="s">
        <v>183</v>
      </c>
      <c r="G82" t="s">
        <v>187</v>
      </c>
      <c r="H82"/>
      <c r="I82"/>
      <c r="J82"/>
      <c r="K82" t="s">
        <v>328</v>
      </c>
      <c r="L82"/>
      <c r="M82"/>
      <c r="N82" t="s">
        <v>310</v>
      </c>
      <c r="O82"/>
      <c r="P82"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82">
        <f>IF(OR(ISBLANK(Table1[[#This Row],[تاريخ التسليم]]),ISBLANK(Table1[[#This Row],[ميعاد الطلب]])),0,Table1[[#This Row],[تاريخ التسليم]]-Table1[[#This Row],[ميعاد الطلب]])</f>
        <v>8</v>
      </c>
      <c r="R82" s="20">
        <f>IF(OR(ISBLANK(Table1[[#This Row],[ميعاد التسليم]]),ISBLANK(Table1[[#This Row],[ميعاد الطلب]])),0,Table1[[#This Row],[ميعاد التسليم]]-Table1[[#This Row],[ميعاد الطلب]])</f>
        <v>8</v>
      </c>
      <c r="S82" s="18">
        <v>45566</v>
      </c>
      <c r="T82" s="18">
        <v>45574</v>
      </c>
      <c r="U82" s="18">
        <v>45574</v>
      </c>
      <c r="V82" t="s">
        <v>193</v>
      </c>
      <c r="W82" t="s">
        <v>171</v>
      </c>
    </row>
    <row r="83" spans="1:23" ht="20.100000000000001" customHeight="1" x14ac:dyDescent="0.25">
      <c r="A83" t="s">
        <v>189</v>
      </c>
      <c r="B83" t="s">
        <v>274</v>
      </c>
      <c r="C83" t="s">
        <v>347</v>
      </c>
      <c r="D83" t="s">
        <v>342</v>
      </c>
      <c r="E83" t="s">
        <v>190</v>
      </c>
      <c r="F83" t="s">
        <v>6</v>
      </c>
      <c r="G83" t="s">
        <v>141</v>
      </c>
      <c r="H83" t="s">
        <v>142</v>
      </c>
      <c r="I83"/>
      <c r="J83"/>
      <c r="K83" t="s">
        <v>328</v>
      </c>
      <c r="L83"/>
      <c r="M83">
        <v>8899</v>
      </c>
      <c r="N83" t="str">
        <f>IF(ISNUMBER(Table1[[#This Row],[طريقه الدفع ]]), "كاش",Table1[[#This Row],[طريقه الدفع ]])</f>
        <v>كاش</v>
      </c>
      <c r="O83">
        <v>8988</v>
      </c>
      <c r="P83">
        <f>IF(OR(Table1[[#This Row],[مدة التسليم (الفعلية)]]=0,Table1[[#This Row],[مدة التسليم (المفترضة)]]=0),0,IF(Table1[[#This Row],[مدة التسليم (الفعلية)]]&gt;Table1[[#This Row],[مدة التسليم (المفترضة)]],"تأخير","قبل الموعد"))</f>
        <v>0</v>
      </c>
      <c r="Q83">
        <f>IF(OR(ISBLANK(Table1[[#This Row],[تاريخ التسليم]]),ISBLANK(Table1[[#This Row],[ميعاد الطلب]])),0,Table1[[#This Row],[تاريخ التسليم]]-Table1[[#This Row],[ميعاد الطلب]])</f>
        <v>0</v>
      </c>
      <c r="R83" s="20">
        <f>IF(OR(ISBLANK(Table1[[#This Row],[ميعاد التسليم]]),ISBLANK(Table1[[#This Row],[ميعاد الطلب]])),0,Table1[[#This Row],[ميعاد التسليم]]-Table1[[#This Row],[ميعاد الطلب]])</f>
        <v>45</v>
      </c>
      <c r="S83" s="18">
        <v>45568</v>
      </c>
      <c r="T83" s="18">
        <v>45613</v>
      </c>
      <c r="U83" s="18"/>
      <c r="V83" t="s">
        <v>320</v>
      </c>
      <c r="W83" t="s">
        <v>191</v>
      </c>
    </row>
    <row r="84" spans="1:23" ht="20.100000000000001" customHeight="1" x14ac:dyDescent="0.25">
      <c r="A84" t="s">
        <v>27</v>
      </c>
      <c r="B84" t="s">
        <v>276</v>
      </c>
      <c r="C84" t="s">
        <v>276</v>
      </c>
      <c r="D84" t="s">
        <v>310</v>
      </c>
      <c r="E84" t="s">
        <v>192</v>
      </c>
      <c r="F84" t="s">
        <v>47</v>
      </c>
      <c r="G84" t="s">
        <v>150</v>
      </c>
      <c r="H84" t="s">
        <v>179</v>
      </c>
      <c r="I84"/>
      <c r="J84"/>
      <c r="K84" t="s">
        <v>328</v>
      </c>
      <c r="L84"/>
      <c r="M84">
        <v>14550</v>
      </c>
      <c r="N84" t="str">
        <f>IF(ISNUMBER(Table1[[#This Row],[طريقه الدفع ]]), "كاش",Table1[[#This Row],[طريقه الدفع ]])</f>
        <v>مسبق الدفع</v>
      </c>
      <c r="O84" t="s">
        <v>14</v>
      </c>
      <c r="P84" t="str">
        <f>IF(OR(Table1[[#This Row],[مدة التسليم (الفعلية)]]=0,Table1[[#This Row],[مدة التسليم (المفترضة)]]=0),0,IF(Table1[[#This Row],[مدة التسليم (الفعلية)]]&gt;Table1[[#This Row],[مدة التسليم (المفترضة)]],"تأخير","قبل الموعد"))</f>
        <v>تأخير</v>
      </c>
      <c r="Q84">
        <f>IF(OR(ISBLANK(Table1[[#This Row],[تاريخ التسليم]]),ISBLANK(Table1[[#This Row],[ميعاد الطلب]])),0,Table1[[#This Row],[تاريخ التسليم]]-Table1[[#This Row],[ميعاد الطلب]])</f>
        <v>22</v>
      </c>
      <c r="R84" s="20">
        <f>IF(OR(ISBLANK(Table1[[#This Row],[ميعاد التسليم]]),ISBLANK(Table1[[#This Row],[ميعاد الطلب]])),0,Table1[[#This Row],[ميعاد التسليم]]-Table1[[#This Row],[ميعاد الطلب]])</f>
        <v>21</v>
      </c>
      <c r="S84" s="18">
        <v>45573</v>
      </c>
      <c r="T84" s="18">
        <v>45594</v>
      </c>
      <c r="U84" s="18">
        <v>45595</v>
      </c>
      <c r="V84" t="s">
        <v>172</v>
      </c>
      <c r="W84" t="s">
        <v>171</v>
      </c>
    </row>
    <row r="85" spans="1:23" ht="20.100000000000001" customHeight="1" x14ac:dyDescent="0.25">
      <c r="A85" t="s">
        <v>27</v>
      </c>
      <c r="B85" t="s">
        <v>276</v>
      </c>
      <c r="C85" t="s">
        <v>276</v>
      </c>
      <c r="D85" t="s">
        <v>310</v>
      </c>
      <c r="E85" t="s">
        <v>194</v>
      </c>
      <c r="F85" t="s">
        <v>47</v>
      </c>
      <c r="G85" t="s">
        <v>150</v>
      </c>
      <c r="H85" t="s">
        <v>179</v>
      </c>
      <c r="I85"/>
      <c r="J85"/>
      <c r="K85" t="s">
        <v>328</v>
      </c>
      <c r="L85"/>
      <c r="M85">
        <v>14550</v>
      </c>
      <c r="N85" t="str">
        <f>IF(ISNUMBER(Table1[[#This Row],[طريقه الدفع ]]), "كاش",Table1[[#This Row],[طريقه الدفع ]])</f>
        <v>مسبق الدفع</v>
      </c>
      <c r="O85" t="s">
        <v>14</v>
      </c>
      <c r="P85"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85">
        <f>IF(OR(ISBLANK(Table1[[#This Row],[تاريخ التسليم]]),ISBLANK(Table1[[#This Row],[ميعاد الطلب]])),0,Table1[[#This Row],[تاريخ التسليم]]-Table1[[#This Row],[ميعاد الطلب]])</f>
        <v>8</v>
      </c>
      <c r="R85" s="20">
        <f>IF(OR(ISBLANK(Table1[[#This Row],[ميعاد التسليم]]),ISBLANK(Table1[[#This Row],[ميعاد الطلب]])),0,Table1[[#This Row],[ميعاد التسليم]]-Table1[[#This Row],[ميعاد الطلب]])</f>
        <v>22</v>
      </c>
      <c r="S85" s="18">
        <v>45572</v>
      </c>
      <c r="T85" s="18">
        <v>45594</v>
      </c>
      <c r="U85" s="18">
        <v>45580</v>
      </c>
      <c r="V85" t="s">
        <v>172</v>
      </c>
      <c r="W85" t="s">
        <v>171</v>
      </c>
    </row>
    <row r="86" spans="1:23" ht="20.100000000000001" customHeight="1" x14ac:dyDescent="0.25">
      <c r="A86" t="s">
        <v>27</v>
      </c>
      <c r="B86" t="s">
        <v>276</v>
      </c>
      <c r="C86" t="s">
        <v>276</v>
      </c>
      <c r="D86"/>
      <c r="E86"/>
      <c r="F86" t="s">
        <v>47</v>
      </c>
      <c r="G86" t="s">
        <v>150</v>
      </c>
      <c r="H86" t="s">
        <v>179</v>
      </c>
      <c r="I86"/>
      <c r="J86"/>
      <c r="K86" t="s">
        <v>328</v>
      </c>
      <c r="L86"/>
      <c r="M86">
        <v>14550</v>
      </c>
      <c r="N86" t="str">
        <f>IF(ISNUMBER(Table1[[#This Row],[طريقه الدفع ]]), "كاش",Table1[[#This Row],[طريقه الدفع ]])</f>
        <v>كاش</v>
      </c>
      <c r="O86">
        <v>11495</v>
      </c>
      <c r="P86" t="str">
        <f>IF(OR(Table1[[#This Row],[مدة التسليم (الفعلية)]]=0,Table1[[#This Row],[مدة التسليم (المفترضة)]]=0),0,IF(Table1[[#This Row],[مدة التسليم (الفعلية)]]&gt;Table1[[#This Row],[مدة التسليم (المفترضة)]],"تأخير","قبل الموعد"))</f>
        <v>تأخير</v>
      </c>
      <c r="Q86">
        <f>IF(OR(ISBLANK(Table1[[#This Row],[تاريخ التسليم]]),ISBLANK(Table1[[#This Row],[ميعاد الطلب]])),0,Table1[[#This Row],[تاريخ التسليم]]-Table1[[#This Row],[ميعاد الطلب]])</f>
        <v>23</v>
      </c>
      <c r="R86" s="20">
        <f>IF(OR(ISBLANK(Table1[[#This Row],[ميعاد التسليم]]),ISBLANK(Table1[[#This Row],[ميعاد الطلب]])),0,Table1[[#This Row],[ميعاد التسليم]]-Table1[[#This Row],[ميعاد الطلب]])</f>
        <v>21</v>
      </c>
      <c r="S86" s="18">
        <v>45575</v>
      </c>
      <c r="T86" s="18">
        <v>45596</v>
      </c>
      <c r="U86" s="18">
        <v>45598</v>
      </c>
      <c r="V86" t="s">
        <v>172</v>
      </c>
      <c r="W86" t="s">
        <v>171</v>
      </c>
    </row>
    <row r="87" spans="1:23" ht="20.100000000000001" customHeight="1" x14ac:dyDescent="0.25">
      <c r="A87" t="s">
        <v>196</v>
      </c>
      <c r="B87" t="s">
        <v>274</v>
      </c>
      <c r="C87" t="s">
        <v>347</v>
      </c>
      <c r="D87" t="s">
        <v>342</v>
      </c>
      <c r="E87" t="s">
        <v>96</v>
      </c>
      <c r="F87" t="s">
        <v>6</v>
      </c>
      <c r="G87" t="s">
        <v>141</v>
      </c>
      <c r="H87" t="s">
        <v>153</v>
      </c>
      <c r="I87" t="s">
        <v>197</v>
      </c>
      <c r="J87" t="s">
        <v>198</v>
      </c>
      <c r="K87" t="s">
        <v>199</v>
      </c>
      <c r="L87"/>
      <c r="M87">
        <v>12899</v>
      </c>
      <c r="N87" t="str">
        <f>IF(ISNUMBER(Table1[[#This Row],[طريقه الدفع ]]), "كاش",Table1[[#This Row],[طريقه الدفع ]])</f>
        <v>كاش</v>
      </c>
      <c r="O87">
        <v>13028</v>
      </c>
      <c r="P87"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87">
        <f>IF(OR(ISBLANK(Table1[[#This Row],[تاريخ التسليم]]),ISBLANK(Table1[[#This Row],[ميعاد الطلب]])),0,Table1[[#This Row],[تاريخ التسليم]]-Table1[[#This Row],[ميعاد الطلب]])</f>
        <v>20</v>
      </c>
      <c r="R87" s="20">
        <f>IF(OR(ISBLANK(Table1[[#This Row],[ميعاد التسليم]]),ISBLANK(Table1[[#This Row],[ميعاد الطلب]])),0,Table1[[#This Row],[ميعاد التسليم]]-Table1[[#This Row],[ميعاد الطلب]])</f>
        <v>65</v>
      </c>
      <c r="S87" s="18">
        <v>45578</v>
      </c>
      <c r="T87" s="18">
        <v>45643</v>
      </c>
      <c r="U87" s="18">
        <v>45598</v>
      </c>
      <c r="V87" t="s">
        <v>172</v>
      </c>
      <c r="W87" t="s">
        <v>171</v>
      </c>
    </row>
    <row r="88" spans="1:23" ht="20.100000000000001" customHeight="1" x14ac:dyDescent="0.25">
      <c r="A88" t="s">
        <v>200</v>
      </c>
      <c r="B88" t="s">
        <v>274</v>
      </c>
      <c r="C88" t="s">
        <v>347</v>
      </c>
      <c r="D88" t="s">
        <v>310</v>
      </c>
      <c r="E88" t="s">
        <v>44</v>
      </c>
      <c r="F88" t="s">
        <v>6</v>
      </c>
      <c r="G88" t="s">
        <v>141</v>
      </c>
      <c r="H88" t="s">
        <v>153</v>
      </c>
      <c r="I88" t="s">
        <v>146</v>
      </c>
      <c r="J88">
        <v>80</v>
      </c>
      <c r="K88" t="s">
        <v>326</v>
      </c>
      <c r="L88"/>
      <c r="M88">
        <v>10499</v>
      </c>
      <c r="N88" t="str">
        <f>IF(ISNUMBER(Table1[[#This Row],[طريقه الدفع ]]), "كاش",Table1[[#This Row],[طريقه الدفع ]])</f>
        <v>مسبق الدفع</v>
      </c>
      <c r="O88" t="s">
        <v>14</v>
      </c>
      <c r="P88"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88">
        <f>IF(OR(ISBLANK(Table1[[#This Row],[تاريخ التسليم]]),ISBLANK(Table1[[#This Row],[ميعاد الطلب]])),0,Table1[[#This Row],[تاريخ التسليم]]-Table1[[#This Row],[ميعاد الطلب]])</f>
        <v>5</v>
      </c>
      <c r="R88" s="20">
        <f>IF(OR(ISBLANK(Table1[[#This Row],[ميعاد التسليم]]),ISBLANK(Table1[[#This Row],[ميعاد الطلب]])),0,Table1[[#This Row],[ميعاد التسليم]]-Table1[[#This Row],[ميعاد الطلب]])</f>
        <v>64</v>
      </c>
      <c r="S88" s="18">
        <v>45581</v>
      </c>
      <c r="T88" s="18">
        <v>45645</v>
      </c>
      <c r="U88" s="18">
        <v>45586</v>
      </c>
      <c r="V88" t="s">
        <v>172</v>
      </c>
      <c r="W88" t="s">
        <v>171</v>
      </c>
    </row>
    <row r="89" spans="1:23" ht="20.100000000000001" customHeight="1" x14ac:dyDescent="0.25">
      <c r="A89" t="s">
        <v>201</v>
      </c>
      <c r="B89" t="s">
        <v>274</v>
      </c>
      <c r="C89" t="s">
        <v>347</v>
      </c>
      <c r="D89" t="s">
        <v>339</v>
      </c>
      <c r="E89" t="s">
        <v>202</v>
      </c>
      <c r="F89" t="s">
        <v>6</v>
      </c>
      <c r="G89" t="s">
        <v>141</v>
      </c>
      <c r="H89" t="s">
        <v>153</v>
      </c>
      <c r="I89" t="s">
        <v>143</v>
      </c>
      <c r="J89" t="s">
        <v>203</v>
      </c>
      <c r="K89" t="s">
        <v>199</v>
      </c>
      <c r="L89"/>
      <c r="M89">
        <v>12899</v>
      </c>
      <c r="N89" t="str">
        <f>IF(ISNUMBER(Table1[[#This Row],[طريقه الدفع ]]), "كاش",Table1[[#This Row],[طريقه الدفع ]])</f>
        <v>مسبق الدفع</v>
      </c>
      <c r="O89" t="s">
        <v>14</v>
      </c>
      <c r="P89"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89">
        <f>IF(OR(ISBLANK(Table1[[#This Row],[تاريخ التسليم]]),ISBLANK(Table1[[#This Row],[ميعاد الطلب]])),0,Table1[[#This Row],[تاريخ التسليم]]-Table1[[#This Row],[ميعاد الطلب]])</f>
        <v>47</v>
      </c>
      <c r="R89" s="20">
        <f>IF(OR(ISBLANK(Table1[[#This Row],[ميعاد التسليم]]),ISBLANK(Table1[[#This Row],[ميعاد الطلب]])),0,Table1[[#This Row],[ميعاد التسليم]]-Table1[[#This Row],[ميعاد الطلب]])</f>
        <v>66</v>
      </c>
      <c r="S89" s="18">
        <v>45582</v>
      </c>
      <c r="T89" s="18">
        <v>45648</v>
      </c>
      <c r="U89" s="18">
        <v>45629</v>
      </c>
      <c r="V89" t="s">
        <v>24</v>
      </c>
      <c r="W89" t="s">
        <v>171</v>
      </c>
    </row>
    <row r="90" spans="1:23" ht="20.100000000000001" customHeight="1" x14ac:dyDescent="0.25">
      <c r="A90" t="s">
        <v>204</v>
      </c>
      <c r="B90" t="s">
        <v>274</v>
      </c>
      <c r="C90" t="s">
        <v>347</v>
      </c>
      <c r="D90" t="s">
        <v>310</v>
      </c>
      <c r="E90" t="s">
        <v>205</v>
      </c>
      <c r="F90" t="s">
        <v>216</v>
      </c>
      <c r="G90" t="s">
        <v>141</v>
      </c>
      <c r="H90" t="s">
        <v>144</v>
      </c>
      <c r="I90" t="s">
        <v>206</v>
      </c>
      <c r="J90">
        <v>140</v>
      </c>
      <c r="K90" t="s">
        <v>188</v>
      </c>
      <c r="L90"/>
      <c r="M90">
        <v>5135</v>
      </c>
      <c r="N90" t="str">
        <f>IF(ISNUMBER(Table1[[#This Row],[طريقه الدفع ]]), "كاش",Table1[[#This Row],[طريقه الدفع ]])</f>
        <v>مسبق الدفع</v>
      </c>
      <c r="O90" t="s">
        <v>14</v>
      </c>
      <c r="P90"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90">
        <f>IF(OR(ISBLANK(Table1[[#This Row],[تاريخ التسليم]]),ISBLANK(Table1[[#This Row],[ميعاد الطلب]])),0,Table1[[#This Row],[تاريخ التسليم]]-Table1[[#This Row],[ميعاد الطلب]])</f>
        <v>25</v>
      </c>
      <c r="R90" s="20">
        <f>IF(OR(ISBLANK(Table1[[#This Row],[ميعاد التسليم]]),ISBLANK(Table1[[#This Row],[ميعاد الطلب]])),0,Table1[[#This Row],[ميعاد التسليم]]-Table1[[#This Row],[ميعاد الطلب]])</f>
        <v>28</v>
      </c>
      <c r="S90" s="18">
        <v>45585</v>
      </c>
      <c r="T90" s="18">
        <v>45613</v>
      </c>
      <c r="U90" s="18">
        <v>45610</v>
      </c>
      <c r="V90" t="s">
        <v>172</v>
      </c>
      <c r="W90" t="s">
        <v>171</v>
      </c>
    </row>
    <row r="91" spans="1:23" ht="20.100000000000001" customHeight="1" x14ac:dyDescent="0.25">
      <c r="A91" t="s">
        <v>27</v>
      </c>
      <c r="B91" t="s">
        <v>276</v>
      </c>
      <c r="C91" t="s">
        <v>276</v>
      </c>
      <c r="D91" t="s">
        <v>338</v>
      </c>
      <c r="E91" t="s">
        <v>177</v>
      </c>
      <c r="F91" t="s">
        <v>47</v>
      </c>
      <c r="G91" t="s">
        <v>141</v>
      </c>
      <c r="H91" t="s">
        <v>153</v>
      </c>
      <c r="I91" t="s">
        <v>207</v>
      </c>
      <c r="J91">
        <v>100</v>
      </c>
      <c r="K91" t="s">
        <v>208</v>
      </c>
      <c r="L91"/>
      <c r="M91">
        <v>12777.5</v>
      </c>
      <c r="N91" t="str">
        <f>IF(ISNUMBER(Table1[[#This Row],[طريقه الدفع ]]), "كاش",Table1[[#This Row],[طريقه الدفع ]])</f>
        <v>كاش</v>
      </c>
      <c r="O91">
        <v>11277.5</v>
      </c>
      <c r="P91" t="str">
        <f>IF(OR(Table1[[#This Row],[مدة التسليم (الفعلية)]]=0,Table1[[#This Row],[مدة التسليم (المفترضة)]]=0),0,IF(Table1[[#This Row],[مدة التسليم (الفعلية)]]&gt;Table1[[#This Row],[مدة التسليم (المفترضة)]],"تأخير","قبل الموعد"))</f>
        <v>تأخير</v>
      </c>
      <c r="Q91">
        <f>IF(OR(ISBLANK(Table1[[#This Row],[تاريخ التسليم]]),ISBLANK(Table1[[#This Row],[ميعاد الطلب]])),0,Table1[[#This Row],[تاريخ التسليم]]-Table1[[#This Row],[ميعاد الطلب]])</f>
        <v>27</v>
      </c>
      <c r="R91" s="20">
        <f>IF(OR(ISBLANK(Table1[[#This Row],[ميعاد التسليم]]),ISBLANK(Table1[[#This Row],[ميعاد الطلب]])),0,Table1[[#This Row],[ميعاد التسليم]]-Table1[[#This Row],[ميعاد الطلب]])</f>
        <v>21</v>
      </c>
      <c r="S91" s="18">
        <v>45587</v>
      </c>
      <c r="T91" s="18">
        <v>45608</v>
      </c>
      <c r="U91" s="18">
        <v>45614</v>
      </c>
      <c r="V91" t="s">
        <v>172</v>
      </c>
      <c r="W91" t="s">
        <v>171</v>
      </c>
    </row>
    <row r="92" spans="1:23" ht="20.100000000000001" customHeight="1" x14ac:dyDescent="0.25">
      <c r="A92" t="s">
        <v>27</v>
      </c>
      <c r="B92" t="s">
        <v>276</v>
      </c>
      <c r="C92" t="s">
        <v>276</v>
      </c>
      <c r="D92" t="s">
        <v>338</v>
      </c>
      <c r="E92" t="s">
        <v>177</v>
      </c>
      <c r="F92" t="s">
        <v>47</v>
      </c>
      <c r="G92" t="s">
        <v>141</v>
      </c>
      <c r="H92" t="s">
        <v>153</v>
      </c>
      <c r="I92" t="s">
        <v>207</v>
      </c>
      <c r="J92">
        <v>100</v>
      </c>
      <c r="K92" t="s">
        <v>208</v>
      </c>
      <c r="L92"/>
      <c r="M92">
        <v>12777.5</v>
      </c>
      <c r="N92" t="str">
        <f>IF(ISNUMBER(Table1[[#This Row],[طريقه الدفع ]]), "كاش",Table1[[#This Row],[طريقه الدفع ]])</f>
        <v>كاش</v>
      </c>
      <c r="O92">
        <v>11277.5</v>
      </c>
      <c r="P92" t="str">
        <f>IF(OR(Table1[[#This Row],[مدة التسليم (الفعلية)]]=0,Table1[[#This Row],[مدة التسليم (المفترضة)]]=0),0,IF(Table1[[#This Row],[مدة التسليم (الفعلية)]]&gt;Table1[[#This Row],[مدة التسليم (المفترضة)]],"تأخير","قبل الموعد"))</f>
        <v>تأخير</v>
      </c>
      <c r="Q92">
        <f>IF(OR(ISBLANK(Table1[[#This Row],[تاريخ التسليم]]),ISBLANK(Table1[[#This Row],[ميعاد الطلب]])),0,Table1[[#This Row],[تاريخ التسليم]]-Table1[[#This Row],[ميعاد الطلب]])</f>
        <v>27</v>
      </c>
      <c r="R92" s="20">
        <f>IF(OR(ISBLANK(Table1[[#This Row],[ميعاد التسليم]]),ISBLANK(Table1[[#This Row],[ميعاد الطلب]])),0,Table1[[#This Row],[ميعاد التسليم]]-Table1[[#This Row],[ميعاد الطلب]])</f>
        <v>21</v>
      </c>
      <c r="S92" s="18">
        <v>45587</v>
      </c>
      <c r="T92" s="18">
        <v>45608</v>
      </c>
      <c r="U92" s="18">
        <v>45614</v>
      </c>
      <c r="V92" t="s">
        <v>172</v>
      </c>
      <c r="W92" t="s">
        <v>171</v>
      </c>
    </row>
    <row r="93" spans="1:23" ht="20.100000000000001" customHeight="1" x14ac:dyDescent="0.25">
      <c r="A93" t="s">
        <v>77</v>
      </c>
      <c r="B93" t="s">
        <v>276</v>
      </c>
      <c r="C93" t="s">
        <v>276</v>
      </c>
      <c r="D93" t="s">
        <v>342</v>
      </c>
      <c r="E93" t="s">
        <v>209</v>
      </c>
      <c r="F93" t="s">
        <v>51</v>
      </c>
      <c r="G93" t="s">
        <v>141</v>
      </c>
      <c r="H93" t="s">
        <v>153</v>
      </c>
      <c r="I93" t="s">
        <v>207</v>
      </c>
      <c r="J93">
        <v>100</v>
      </c>
      <c r="K93" t="s">
        <v>208</v>
      </c>
      <c r="L93"/>
      <c r="M93">
        <v>8544.91</v>
      </c>
      <c r="N93" t="str">
        <f>IF(ISNUMBER(Table1[[#This Row],[طريقه الدفع ]]), "كاش",Table1[[#This Row],[طريقه الدفع ]])</f>
        <v>حساب شركه</v>
      </c>
      <c r="O93" t="s">
        <v>79</v>
      </c>
      <c r="P93">
        <f>IF(OR(Table1[[#This Row],[مدة التسليم (الفعلية)]]=0,Table1[[#This Row],[مدة التسليم (المفترضة)]]=0),0,IF(Table1[[#This Row],[مدة التسليم (الفعلية)]]&gt;Table1[[#This Row],[مدة التسليم (المفترضة)]],"تأخير","قبل الموعد"))</f>
        <v>0</v>
      </c>
      <c r="Q93">
        <f>IF(OR(ISBLANK(Table1[[#This Row],[تاريخ التسليم]]),ISBLANK(Table1[[#This Row],[ميعاد الطلب]])),0,Table1[[#This Row],[تاريخ التسليم]]-Table1[[#This Row],[ميعاد الطلب]])</f>
        <v>0</v>
      </c>
      <c r="R93" s="20">
        <f>IF(OR(ISBLANK(Table1[[#This Row],[ميعاد التسليم]]),ISBLANK(Table1[[#This Row],[ميعاد الطلب]])),0,Table1[[#This Row],[ميعاد التسليم]]-Table1[[#This Row],[ميعاد الطلب]])</f>
        <v>0</v>
      </c>
      <c r="S93" s="18">
        <v>45587</v>
      </c>
      <c r="T93" s="18"/>
      <c r="U93" s="18"/>
      <c r="V93" t="s">
        <v>320</v>
      </c>
      <c r="W93" t="s">
        <v>191</v>
      </c>
    </row>
    <row r="94" spans="1:23" ht="20.100000000000001" customHeight="1" x14ac:dyDescent="0.25">
      <c r="A94" t="s">
        <v>210</v>
      </c>
      <c r="B94" t="s">
        <v>274</v>
      </c>
      <c r="C94" t="s">
        <v>348</v>
      </c>
      <c r="D94" t="s">
        <v>338</v>
      </c>
      <c r="E94" t="s">
        <v>211</v>
      </c>
      <c r="F94" t="s">
        <v>6</v>
      </c>
      <c r="G94" t="s">
        <v>141</v>
      </c>
      <c r="H94" t="s">
        <v>144</v>
      </c>
      <c r="I94" t="s">
        <v>159</v>
      </c>
      <c r="J94">
        <v>120</v>
      </c>
      <c r="K94" t="s">
        <v>326</v>
      </c>
      <c r="L94"/>
      <c r="M94">
        <v>8943</v>
      </c>
      <c r="N94" t="str">
        <f>IF(ISNUMBER(Table1[[#This Row],[طريقه الدفع ]]), "كاش",Table1[[#This Row],[طريقه الدفع ]])</f>
        <v>كاش</v>
      </c>
      <c r="O94">
        <v>9007.01</v>
      </c>
      <c r="P94" t="str">
        <f>IF(OR(Table1[[#This Row],[مدة التسليم (الفعلية)]]=0,Table1[[#This Row],[مدة التسليم (المفترضة)]]=0),0,IF(Table1[[#This Row],[مدة التسليم (الفعلية)]]&gt;Table1[[#This Row],[مدة التسليم (المفترضة)]],"تأخير","قبل الموعد"))</f>
        <v>تأخير</v>
      </c>
      <c r="Q94">
        <f>IF(OR(ISBLANK(Table1[[#This Row],[تاريخ التسليم]]),ISBLANK(Table1[[#This Row],[ميعاد الطلب]])),0,Table1[[#This Row],[تاريخ التسليم]]-Table1[[#This Row],[ميعاد الطلب]])</f>
        <v>28</v>
      </c>
      <c r="R94" s="20">
        <f>IF(OR(ISBLANK(Table1[[#This Row],[ميعاد التسليم]]),ISBLANK(Table1[[#This Row],[ميعاد الطلب]])),0,Table1[[#This Row],[ميعاد التسليم]]-Table1[[#This Row],[ميعاد الطلب]])</f>
        <v>24</v>
      </c>
      <c r="S94" s="18">
        <v>45586</v>
      </c>
      <c r="T94" s="18">
        <v>45610</v>
      </c>
      <c r="U94" s="18">
        <v>45614</v>
      </c>
      <c r="V94" t="s">
        <v>172</v>
      </c>
      <c r="W94" t="s">
        <v>171</v>
      </c>
    </row>
    <row r="95" spans="1:23" ht="20.100000000000001" customHeight="1" x14ac:dyDescent="0.25">
      <c r="A95" t="s">
        <v>27</v>
      </c>
      <c r="B95" t="s">
        <v>276</v>
      </c>
      <c r="C95" t="s">
        <v>276</v>
      </c>
      <c r="D95"/>
      <c r="E95"/>
      <c r="F95" t="s">
        <v>47</v>
      </c>
      <c r="G95" t="s">
        <v>150</v>
      </c>
      <c r="H95" t="s">
        <v>179</v>
      </c>
      <c r="I95"/>
      <c r="J95"/>
      <c r="K95" t="s">
        <v>328</v>
      </c>
      <c r="L95"/>
      <c r="M95">
        <v>15516</v>
      </c>
      <c r="N95" t="str">
        <f>IF(ISNUMBER(Table1[[#This Row],[طريقه الدفع ]]), "كاش",Table1[[#This Row],[طريقه الدفع ]])</f>
        <v>مسبق الدفع</v>
      </c>
      <c r="O95" t="s">
        <v>14</v>
      </c>
      <c r="P95"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95">
        <f>IF(OR(ISBLANK(Table1[[#This Row],[تاريخ التسليم]]),ISBLANK(Table1[[#This Row],[ميعاد الطلب]])),0,Table1[[#This Row],[تاريخ التسليم]]-Table1[[#This Row],[ميعاد الطلب]])</f>
        <v>6</v>
      </c>
      <c r="R95" s="20">
        <f>IF(OR(ISBLANK(Table1[[#This Row],[ميعاد التسليم]]),ISBLANK(Table1[[#This Row],[ميعاد الطلب]])),0,Table1[[#This Row],[ميعاد التسليم]]-Table1[[#This Row],[ميعاد الطلب]])</f>
        <v>21</v>
      </c>
      <c r="S95" s="18">
        <v>45589</v>
      </c>
      <c r="T95" s="18">
        <v>45610</v>
      </c>
      <c r="U95" s="18">
        <v>45595</v>
      </c>
      <c r="V95" t="s">
        <v>172</v>
      </c>
      <c r="W95" t="s">
        <v>171</v>
      </c>
    </row>
    <row r="96" spans="1:23" ht="20.100000000000001" customHeight="1" x14ac:dyDescent="0.25">
      <c r="A96" t="s">
        <v>27</v>
      </c>
      <c r="B96" t="s">
        <v>276</v>
      </c>
      <c r="C96" t="s">
        <v>276</v>
      </c>
      <c r="D96"/>
      <c r="E96"/>
      <c r="F96" t="s">
        <v>47</v>
      </c>
      <c r="G96" t="s">
        <v>141</v>
      </c>
      <c r="H96" t="s">
        <v>153</v>
      </c>
      <c r="I96" t="s">
        <v>145</v>
      </c>
      <c r="J96">
        <v>100</v>
      </c>
      <c r="K96" t="s">
        <v>328</v>
      </c>
      <c r="L96"/>
      <c r="M96">
        <v>10045</v>
      </c>
      <c r="N96" t="str">
        <f>IF(ISNUMBER(Table1[[#This Row],[طريقه الدفع ]]), "كاش",Table1[[#This Row],[طريقه الدفع ]])</f>
        <v>كاش</v>
      </c>
      <c r="O96">
        <v>8879</v>
      </c>
      <c r="P96">
        <f>IF(OR(Table1[[#This Row],[مدة التسليم (الفعلية)]]=0,Table1[[#This Row],[مدة التسليم (المفترضة)]]=0),0,IF(Table1[[#This Row],[مدة التسليم (الفعلية)]]&gt;Table1[[#This Row],[مدة التسليم (المفترضة)]],"تأخير","قبل الموعد"))</f>
        <v>0</v>
      </c>
      <c r="Q96">
        <f>IF(OR(ISBLANK(Table1[[#This Row],[تاريخ التسليم]]),ISBLANK(Table1[[#This Row],[ميعاد الطلب]])),0,Table1[[#This Row],[تاريخ التسليم]]-Table1[[#This Row],[ميعاد الطلب]])</f>
        <v>0</v>
      </c>
      <c r="R96" s="20">
        <f>IF(OR(ISBLANK(Table1[[#This Row],[ميعاد التسليم]]),ISBLANK(Table1[[#This Row],[ميعاد الطلب]])),0,Table1[[#This Row],[ميعاد التسليم]]-Table1[[#This Row],[ميعاد الطلب]])</f>
        <v>21</v>
      </c>
      <c r="S96" s="18">
        <v>45591</v>
      </c>
      <c r="T96" s="18">
        <v>45612</v>
      </c>
      <c r="U96" s="18"/>
      <c r="V96" t="s">
        <v>320</v>
      </c>
      <c r="W96" t="s">
        <v>191</v>
      </c>
    </row>
    <row r="97" spans="1:23" ht="20.100000000000001" customHeight="1" x14ac:dyDescent="0.25">
      <c r="A97" t="s">
        <v>123</v>
      </c>
      <c r="B97" t="s">
        <v>274</v>
      </c>
      <c r="C97" t="s">
        <v>348</v>
      </c>
      <c r="D97" t="s">
        <v>338</v>
      </c>
      <c r="E97" t="s">
        <v>212</v>
      </c>
      <c r="F97" t="s">
        <v>6</v>
      </c>
      <c r="G97" t="s">
        <v>141</v>
      </c>
      <c r="H97" t="s">
        <v>153</v>
      </c>
      <c r="I97" t="s">
        <v>145</v>
      </c>
      <c r="J97">
        <v>90</v>
      </c>
      <c r="K97" t="s">
        <v>328</v>
      </c>
      <c r="L97"/>
      <c r="M97">
        <v>11649</v>
      </c>
      <c r="N97" t="str">
        <f>IF(ISNUMBER(Table1[[#This Row],[طريقه الدفع ]]), "كاش",Table1[[#This Row],[طريقه الدفع ]])</f>
        <v>كاش</v>
      </c>
      <c r="O97">
        <v>11749</v>
      </c>
      <c r="P97" t="str">
        <f>IF(OR(Table1[[#This Row],[مدة التسليم (الفعلية)]]=0,Table1[[#This Row],[مدة التسليم (المفترضة)]]=0),0,IF(Table1[[#This Row],[مدة التسليم (الفعلية)]]&gt;Table1[[#This Row],[مدة التسليم (المفترضة)]],"تأخير","قبل الموعد"))</f>
        <v>تأخير</v>
      </c>
      <c r="Q97">
        <f>IF(OR(ISBLANK(Table1[[#This Row],[تاريخ التسليم]]),ISBLANK(Table1[[#This Row],[ميعاد الطلب]])),0,Table1[[#This Row],[تاريخ التسليم]]-Table1[[#This Row],[ميعاد الطلب]])</f>
        <v>23</v>
      </c>
      <c r="R97" s="20">
        <f>IF(OR(ISBLANK(Table1[[#This Row],[ميعاد التسليم]]),ISBLANK(Table1[[#This Row],[ميعاد الطلب]])),0,Table1[[#This Row],[ميعاد التسليم]]-Table1[[#This Row],[ميعاد الطلب]])</f>
        <v>15</v>
      </c>
      <c r="S97" s="18">
        <v>45591</v>
      </c>
      <c r="T97" s="18">
        <v>45606</v>
      </c>
      <c r="U97" s="18">
        <v>45614</v>
      </c>
      <c r="V97" t="s">
        <v>172</v>
      </c>
      <c r="W97" t="s">
        <v>171</v>
      </c>
    </row>
    <row r="98" spans="1:23" ht="20.100000000000001" customHeight="1" x14ac:dyDescent="0.25">
      <c r="A98" t="s">
        <v>123</v>
      </c>
      <c r="B98" t="s">
        <v>274</v>
      </c>
      <c r="C98" t="s">
        <v>348</v>
      </c>
      <c r="D98" t="s">
        <v>338</v>
      </c>
      <c r="E98" t="s">
        <v>212</v>
      </c>
      <c r="F98" t="s">
        <v>6</v>
      </c>
      <c r="G98" t="s">
        <v>141</v>
      </c>
      <c r="H98" t="s">
        <v>153</v>
      </c>
      <c r="I98" t="s">
        <v>145</v>
      </c>
      <c r="J98">
        <v>90</v>
      </c>
      <c r="K98" t="s">
        <v>328</v>
      </c>
      <c r="L98"/>
      <c r="M98">
        <v>11649</v>
      </c>
      <c r="N98" t="str">
        <f>IF(ISNUMBER(Table1[[#This Row],[طريقه الدفع ]]), "كاش",Table1[[#This Row],[طريقه الدفع ]])</f>
        <v>كاش</v>
      </c>
      <c r="O98">
        <v>11749</v>
      </c>
      <c r="P98" t="str">
        <f>IF(OR(Table1[[#This Row],[مدة التسليم (الفعلية)]]=0,Table1[[#This Row],[مدة التسليم (المفترضة)]]=0),0,IF(Table1[[#This Row],[مدة التسليم (الفعلية)]]&gt;Table1[[#This Row],[مدة التسليم (المفترضة)]],"تأخير","قبل الموعد"))</f>
        <v>تأخير</v>
      </c>
      <c r="Q98">
        <f>IF(OR(ISBLANK(Table1[[#This Row],[تاريخ التسليم]]),ISBLANK(Table1[[#This Row],[ميعاد الطلب]])),0,Table1[[#This Row],[تاريخ التسليم]]-Table1[[#This Row],[ميعاد الطلب]])</f>
        <v>23</v>
      </c>
      <c r="R98" s="20">
        <f>IF(OR(ISBLANK(Table1[[#This Row],[ميعاد التسليم]]),ISBLANK(Table1[[#This Row],[ميعاد الطلب]])),0,Table1[[#This Row],[ميعاد التسليم]]-Table1[[#This Row],[ميعاد الطلب]])</f>
        <v>15</v>
      </c>
      <c r="S98" s="18">
        <v>45591</v>
      </c>
      <c r="T98" s="18">
        <v>45606</v>
      </c>
      <c r="U98" s="18">
        <v>45614</v>
      </c>
      <c r="V98" t="s">
        <v>172</v>
      </c>
      <c r="W98" t="s">
        <v>171</v>
      </c>
    </row>
    <row r="99" spans="1:23" ht="20.100000000000001" customHeight="1" x14ac:dyDescent="0.25">
      <c r="A99" t="s">
        <v>213</v>
      </c>
      <c r="B99" t="s">
        <v>274</v>
      </c>
      <c r="C99" t="s">
        <v>276</v>
      </c>
      <c r="D99" t="s">
        <v>342</v>
      </c>
      <c r="E99" t="s">
        <v>101</v>
      </c>
      <c r="F99" t="s">
        <v>6</v>
      </c>
      <c r="G99" t="s">
        <v>141</v>
      </c>
      <c r="H99" t="s">
        <v>144</v>
      </c>
      <c r="I99" t="s">
        <v>147</v>
      </c>
      <c r="J99">
        <v>100</v>
      </c>
      <c r="K99" t="s">
        <v>326</v>
      </c>
      <c r="L99"/>
      <c r="M99">
        <v>4800</v>
      </c>
      <c r="N99" t="str">
        <f>IF(ISNUMBER(Table1[[#This Row],[طريقه الدفع ]]), "كاش",Table1[[#This Row],[طريقه الدفع ]])</f>
        <v>كاش</v>
      </c>
      <c r="O99">
        <v>4800</v>
      </c>
      <c r="P99" t="str">
        <f>IF(OR(Table1[[#This Row],[مدة التسليم (الفعلية)]]=0,Table1[[#This Row],[مدة التسليم (المفترضة)]]=0),0,IF(Table1[[#This Row],[مدة التسليم (الفعلية)]]&gt;Table1[[#This Row],[مدة التسليم (المفترضة)]],"تأخير","قبل الموعد"))</f>
        <v>تأخير</v>
      </c>
      <c r="Q99">
        <f>IF(OR(ISBLANK(Table1[[#This Row],[تاريخ التسليم]]),ISBLANK(Table1[[#This Row],[ميعاد الطلب]])),0,Table1[[#This Row],[تاريخ التسليم]]-Table1[[#This Row],[ميعاد الطلب]])</f>
        <v>24</v>
      </c>
      <c r="R99" s="20">
        <f>IF(OR(ISBLANK(Table1[[#This Row],[ميعاد التسليم]]),ISBLANK(Table1[[#This Row],[ميعاد الطلب]])),0,Table1[[#This Row],[ميعاد التسليم]]-Table1[[#This Row],[ميعاد الطلب]])</f>
        <v>14</v>
      </c>
      <c r="S99" s="18">
        <v>45593</v>
      </c>
      <c r="T99" s="18">
        <v>45607</v>
      </c>
      <c r="U99" s="18">
        <v>45617</v>
      </c>
      <c r="V99" t="s">
        <v>172</v>
      </c>
      <c r="W99" t="s">
        <v>171</v>
      </c>
    </row>
    <row r="100" spans="1:23" ht="20.100000000000001" customHeight="1" x14ac:dyDescent="0.25">
      <c r="A100" t="s">
        <v>213</v>
      </c>
      <c r="B100" t="s">
        <v>274</v>
      </c>
      <c r="C100" t="s">
        <v>276</v>
      </c>
      <c r="D100" t="s">
        <v>342</v>
      </c>
      <c r="E100" t="s">
        <v>101</v>
      </c>
      <c r="F100" t="s">
        <v>6</v>
      </c>
      <c r="G100" t="s">
        <v>141</v>
      </c>
      <c r="H100" t="s">
        <v>144</v>
      </c>
      <c r="I100" t="s">
        <v>147</v>
      </c>
      <c r="J100">
        <v>120</v>
      </c>
      <c r="K100" t="s">
        <v>326</v>
      </c>
      <c r="L100"/>
      <c r="M100">
        <v>5000</v>
      </c>
      <c r="N100" t="str">
        <f>IF(ISNUMBER(Table1[[#This Row],[طريقه الدفع ]]), "كاش",Table1[[#This Row],[طريقه الدفع ]])</f>
        <v>كاش</v>
      </c>
      <c r="O100">
        <v>4800</v>
      </c>
      <c r="P100" t="str">
        <f>IF(OR(Table1[[#This Row],[مدة التسليم (الفعلية)]]=0,Table1[[#This Row],[مدة التسليم (المفترضة)]]=0),0,IF(Table1[[#This Row],[مدة التسليم (الفعلية)]]&gt;Table1[[#This Row],[مدة التسليم (المفترضة)]],"تأخير","قبل الموعد"))</f>
        <v>تأخير</v>
      </c>
      <c r="Q100">
        <f>IF(OR(ISBLANK(Table1[[#This Row],[تاريخ التسليم]]),ISBLANK(Table1[[#This Row],[ميعاد الطلب]])),0,Table1[[#This Row],[تاريخ التسليم]]-Table1[[#This Row],[ميعاد الطلب]])</f>
        <v>24</v>
      </c>
      <c r="R100" s="20">
        <f>IF(OR(ISBLANK(Table1[[#This Row],[ميعاد التسليم]]),ISBLANK(Table1[[#This Row],[ميعاد الطلب]])),0,Table1[[#This Row],[ميعاد التسليم]]-Table1[[#This Row],[ميعاد الطلب]])</f>
        <v>14</v>
      </c>
      <c r="S100" s="18">
        <v>45593</v>
      </c>
      <c r="T100" s="18">
        <v>45607</v>
      </c>
      <c r="U100" s="18">
        <v>45617</v>
      </c>
      <c r="V100" t="s">
        <v>172</v>
      </c>
      <c r="W100" t="s">
        <v>171</v>
      </c>
    </row>
    <row r="101" spans="1:23" ht="20.100000000000001" customHeight="1" x14ac:dyDescent="0.25">
      <c r="A101" t="s">
        <v>214</v>
      </c>
      <c r="B101" t="s">
        <v>274</v>
      </c>
      <c r="C101" t="s">
        <v>347</v>
      </c>
      <c r="D101" t="s">
        <v>342</v>
      </c>
      <c r="E101" t="s">
        <v>217</v>
      </c>
      <c r="F101" t="s">
        <v>6</v>
      </c>
      <c r="G101" t="s">
        <v>141</v>
      </c>
      <c r="H101" t="s">
        <v>153</v>
      </c>
      <c r="I101" t="s">
        <v>146</v>
      </c>
      <c r="J101">
        <v>80</v>
      </c>
      <c r="K101" t="s">
        <v>326</v>
      </c>
      <c r="L101"/>
      <c r="M101">
        <v>12099</v>
      </c>
      <c r="N101" t="str">
        <f>IF(ISNUMBER(Table1[[#This Row],[طريقه الدفع ]]), "كاش",Table1[[#This Row],[طريقه الدفع ]])</f>
        <v>مسبق الدفع</v>
      </c>
      <c r="O101" t="s">
        <v>14</v>
      </c>
      <c r="P101" t="str">
        <f>IF(OR(Table1[[#This Row],[مدة التسليم (الفعلية)]]=0,Table1[[#This Row],[مدة التسليم (المفترضة)]]=0),0,IF(Table1[[#This Row],[مدة التسليم (الفعلية)]]&gt;Table1[[#This Row],[مدة التسليم (المفترضة)]],"تأخير","قبل الموعد"))</f>
        <v>تأخير</v>
      </c>
      <c r="Q101">
        <f>IF(OR(ISBLANK(Table1[[#This Row],[تاريخ التسليم]]),ISBLANK(Table1[[#This Row],[ميعاد الطلب]])),0,Table1[[#This Row],[تاريخ التسليم]]-Table1[[#This Row],[ميعاد الطلب]])</f>
        <v>16</v>
      </c>
      <c r="R101" s="20">
        <f>IF(OR(ISBLANK(Table1[[#This Row],[ميعاد التسليم]]),ISBLANK(Table1[[#This Row],[ميعاد الطلب]])),0,Table1[[#This Row],[ميعاد التسليم]]-Table1[[#This Row],[ميعاد الطلب]])</f>
        <v>15</v>
      </c>
      <c r="S101" s="18">
        <v>45607</v>
      </c>
      <c r="T101" s="18">
        <v>45622</v>
      </c>
      <c r="U101" s="18">
        <v>45623</v>
      </c>
      <c r="V101" t="s">
        <v>172</v>
      </c>
      <c r="W101" t="s">
        <v>171</v>
      </c>
    </row>
    <row r="102" spans="1:23" ht="20.100000000000001" customHeight="1" x14ac:dyDescent="0.25">
      <c r="A102" t="s">
        <v>47</v>
      </c>
      <c r="B102" t="s">
        <v>276</v>
      </c>
      <c r="C102" t="s">
        <v>276</v>
      </c>
      <c r="D102" t="s">
        <v>310</v>
      </c>
      <c r="E102" t="s">
        <v>192</v>
      </c>
      <c r="F102" t="s">
        <v>47</v>
      </c>
      <c r="G102" t="s">
        <v>150</v>
      </c>
      <c r="H102" t="s">
        <v>179</v>
      </c>
      <c r="I102" t="s">
        <v>215</v>
      </c>
      <c r="J102"/>
      <c r="K102" t="s">
        <v>328</v>
      </c>
      <c r="L102"/>
      <c r="M102">
        <v>15872</v>
      </c>
      <c r="N102" t="str">
        <f>IF(ISNUMBER(Table1[[#This Row],[طريقه الدفع ]]), "كاش",Table1[[#This Row],[طريقه الدفع ]])</f>
        <v>مسبق الدفع</v>
      </c>
      <c r="O102" t="s">
        <v>14</v>
      </c>
      <c r="P102"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02">
        <f>IF(OR(ISBLANK(Table1[[#This Row],[تاريخ التسليم]]),ISBLANK(Table1[[#This Row],[ميعاد الطلب]])),0,Table1[[#This Row],[تاريخ التسليم]]-Table1[[#This Row],[ميعاد الطلب]])</f>
        <v>6</v>
      </c>
      <c r="R102" s="20">
        <f>IF(OR(ISBLANK(Table1[[#This Row],[ميعاد التسليم]]),ISBLANK(Table1[[#This Row],[ميعاد الطلب]])),0,Table1[[#This Row],[ميعاد التسليم]]-Table1[[#This Row],[ميعاد الطلب]])</f>
        <v>25</v>
      </c>
      <c r="S102" s="18">
        <v>45604</v>
      </c>
      <c r="T102" s="18">
        <f>DATE(2024,12,3)</f>
        <v>45629</v>
      </c>
      <c r="U102" s="18">
        <v>45610</v>
      </c>
      <c r="V102" t="s">
        <v>172</v>
      </c>
      <c r="W102" t="s">
        <v>171</v>
      </c>
    </row>
    <row r="103" spans="1:23" ht="20.100000000000001" customHeight="1" x14ac:dyDescent="0.25">
      <c r="A103" t="s">
        <v>216</v>
      </c>
      <c r="B103" t="s">
        <v>274</v>
      </c>
      <c r="C103" t="s">
        <v>276</v>
      </c>
      <c r="D103" t="s">
        <v>342</v>
      </c>
      <c r="E103" t="s">
        <v>30</v>
      </c>
      <c r="F103" t="s">
        <v>216</v>
      </c>
      <c r="G103" t="s">
        <v>141</v>
      </c>
      <c r="H103" t="s">
        <v>144</v>
      </c>
      <c r="I103" t="s">
        <v>159</v>
      </c>
      <c r="J103">
        <v>120</v>
      </c>
      <c r="K103" t="s">
        <v>326</v>
      </c>
      <c r="L103"/>
      <c r="M103">
        <v>4520</v>
      </c>
      <c r="N103" t="str">
        <f>IF(ISNUMBER(Table1[[#This Row],[طريقه الدفع ]]), "كاش",Table1[[#This Row],[طريقه الدفع ]])</f>
        <v>حساب شركه</v>
      </c>
      <c r="O103" t="s">
        <v>79</v>
      </c>
      <c r="P103"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03">
        <f>IF(OR(ISBLANK(Table1[[#This Row],[تاريخ التسليم]]),ISBLANK(Table1[[#This Row],[ميعاد الطلب]])),0,Table1[[#This Row],[تاريخ التسليم]]-Table1[[#This Row],[ميعاد الطلب]])</f>
        <v>11</v>
      </c>
      <c r="R103" s="20">
        <f>IF(OR(ISBLANK(Table1[[#This Row],[ميعاد التسليم]]),ISBLANK(Table1[[#This Row],[ميعاد الطلب]])),0,Table1[[#This Row],[ميعاد التسليم]]-Table1[[#This Row],[ميعاد الطلب]])</f>
        <v>12</v>
      </c>
      <c r="S103" s="18">
        <v>45606</v>
      </c>
      <c r="T103" s="18">
        <v>45618</v>
      </c>
      <c r="U103" s="18">
        <v>45617</v>
      </c>
      <c r="V103" t="s">
        <v>172</v>
      </c>
      <c r="W103" t="s">
        <v>171</v>
      </c>
    </row>
    <row r="104" spans="1:23" ht="20.100000000000001" customHeight="1" x14ac:dyDescent="0.25">
      <c r="A104" t="s">
        <v>77</v>
      </c>
      <c r="B104" t="s">
        <v>276</v>
      </c>
      <c r="C104" t="s">
        <v>276</v>
      </c>
      <c r="D104" t="s">
        <v>343</v>
      </c>
      <c r="E104" t="s">
        <v>173</v>
      </c>
      <c r="F104" t="s">
        <v>51</v>
      </c>
      <c r="G104" t="s">
        <v>141</v>
      </c>
      <c r="H104" t="s">
        <v>153</v>
      </c>
      <c r="I104" t="s">
        <v>145</v>
      </c>
      <c r="J104">
        <v>90</v>
      </c>
      <c r="K104" t="s">
        <v>328</v>
      </c>
      <c r="L104"/>
      <c r="M104">
        <v>5766</v>
      </c>
      <c r="N104" t="str">
        <f>IF(ISNUMBER(Table1[[#This Row],[طريقه الدفع ]]), "كاش",Table1[[#This Row],[طريقه الدفع ]])</f>
        <v>حساب شركه</v>
      </c>
      <c r="O104" t="s">
        <v>79</v>
      </c>
      <c r="P104"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04">
        <f>IF(OR(ISBLANK(Table1[[#This Row],[تاريخ التسليم]]),ISBLANK(Table1[[#This Row],[ميعاد الطلب]])),0,Table1[[#This Row],[تاريخ التسليم]]-Table1[[#This Row],[ميعاد الطلب]])</f>
        <v>13</v>
      </c>
      <c r="R104" s="20">
        <f>IF(OR(ISBLANK(Table1[[#This Row],[ميعاد التسليم]]),ISBLANK(Table1[[#This Row],[ميعاد الطلب]])),0,Table1[[#This Row],[ميعاد التسليم]]-Table1[[#This Row],[ميعاد الطلب]])</f>
        <v>14</v>
      </c>
      <c r="S104" s="18">
        <v>45608</v>
      </c>
      <c r="T104" s="18">
        <v>45622</v>
      </c>
      <c r="U104" s="18">
        <v>45621</v>
      </c>
      <c r="V104" t="s">
        <v>172</v>
      </c>
      <c r="W104" t="s">
        <v>171</v>
      </c>
    </row>
    <row r="105" spans="1:23" ht="20.100000000000001" customHeight="1" x14ac:dyDescent="0.25">
      <c r="A105" t="s">
        <v>218</v>
      </c>
      <c r="B105" t="s">
        <v>274</v>
      </c>
      <c r="C105" t="s">
        <v>347</v>
      </c>
      <c r="D105" t="s">
        <v>342</v>
      </c>
      <c r="E105" t="s">
        <v>101</v>
      </c>
      <c r="F105" t="s">
        <v>6</v>
      </c>
      <c r="G105" t="s">
        <v>141</v>
      </c>
      <c r="H105" t="s">
        <v>144</v>
      </c>
      <c r="I105" t="s">
        <v>159</v>
      </c>
      <c r="J105">
        <v>160</v>
      </c>
      <c r="K105" t="s">
        <v>334</v>
      </c>
      <c r="L105"/>
      <c r="M105">
        <v>11395</v>
      </c>
      <c r="N105" t="str">
        <f>IF(ISNUMBER(Table1[[#This Row],[طريقه الدفع ]]), "كاش",Table1[[#This Row],[طريقه الدفع ]])</f>
        <v>مسبق الدفع</v>
      </c>
      <c r="O105" t="s">
        <v>14</v>
      </c>
      <c r="P105" t="str">
        <f>IF(OR(Table1[[#This Row],[مدة التسليم (الفعلية)]]=0,Table1[[#This Row],[مدة التسليم (المفترضة)]]=0),0,IF(Table1[[#This Row],[مدة التسليم (الفعلية)]]&gt;Table1[[#This Row],[مدة التسليم (المفترضة)]],"تأخير","قبل الموعد"))</f>
        <v>تأخير</v>
      </c>
      <c r="Q105">
        <f>IF(OR(ISBLANK(Table1[[#This Row],[تاريخ التسليم]]),ISBLANK(Table1[[#This Row],[ميعاد الطلب]])),0,Table1[[#This Row],[تاريخ التسليم]]-Table1[[#This Row],[ميعاد الطلب]])</f>
        <v>15</v>
      </c>
      <c r="R105" s="20">
        <f>IF(OR(ISBLANK(Table1[[#This Row],[ميعاد التسليم]]),ISBLANK(Table1[[#This Row],[ميعاد الطلب]])),0,Table1[[#This Row],[ميعاد التسليم]]-Table1[[#This Row],[ميعاد الطلب]])</f>
        <v>12</v>
      </c>
      <c r="S105" s="18">
        <v>45608</v>
      </c>
      <c r="T105" s="18">
        <v>45620</v>
      </c>
      <c r="U105" s="18">
        <v>45623</v>
      </c>
      <c r="V105" t="s">
        <v>172</v>
      </c>
      <c r="W105" t="s">
        <v>171</v>
      </c>
    </row>
    <row r="106" spans="1:23" ht="20.100000000000001" customHeight="1" x14ac:dyDescent="0.25">
      <c r="A106" t="s">
        <v>219</v>
      </c>
      <c r="B106" t="s">
        <v>274</v>
      </c>
      <c r="C106" t="s">
        <v>348</v>
      </c>
      <c r="D106" t="s">
        <v>342</v>
      </c>
      <c r="E106" t="s">
        <v>30</v>
      </c>
      <c r="F106" t="s">
        <v>6</v>
      </c>
      <c r="G106" t="s">
        <v>141</v>
      </c>
      <c r="H106" t="s">
        <v>153</v>
      </c>
      <c r="I106" t="s">
        <v>220</v>
      </c>
      <c r="J106">
        <v>80</v>
      </c>
      <c r="K106" t="s">
        <v>326</v>
      </c>
      <c r="L106"/>
      <c r="M106">
        <v>12919</v>
      </c>
      <c r="N106" t="str">
        <f>IF(ISNUMBER(Table1[[#This Row],[طريقه الدفع ]]), "كاش",Table1[[#This Row],[طريقه الدفع ]])</f>
        <v>مسبق الدفع</v>
      </c>
      <c r="O106" t="s">
        <v>14</v>
      </c>
      <c r="P106"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06">
        <f>IF(OR(ISBLANK(Table1[[#This Row],[تاريخ التسليم]]),ISBLANK(Table1[[#This Row],[ميعاد الطلب]])),0,Table1[[#This Row],[تاريخ التسليم]]-Table1[[#This Row],[ميعاد الطلب]])</f>
        <v>13</v>
      </c>
      <c r="R106" s="20">
        <f>IF(OR(ISBLANK(Table1[[#This Row],[ميعاد التسليم]]),ISBLANK(Table1[[#This Row],[ميعاد الطلب]])),0,Table1[[#This Row],[ميعاد التسليم]]-Table1[[#This Row],[ميعاد الطلب]])</f>
        <v>16</v>
      </c>
      <c r="S106" s="18">
        <v>45610</v>
      </c>
      <c r="T106" s="18">
        <v>45626</v>
      </c>
      <c r="U106" s="18">
        <v>45623</v>
      </c>
      <c r="V106" t="s">
        <v>172</v>
      </c>
      <c r="W106" t="s">
        <v>171</v>
      </c>
    </row>
    <row r="107" spans="1:23" ht="20.100000000000001" customHeight="1" x14ac:dyDescent="0.25">
      <c r="A107" t="s">
        <v>77</v>
      </c>
      <c r="B107" t="s">
        <v>276</v>
      </c>
      <c r="C107" t="s">
        <v>276</v>
      </c>
      <c r="D107" t="s">
        <v>343</v>
      </c>
      <c r="E107" t="s">
        <v>173</v>
      </c>
      <c r="F107" t="s">
        <v>51</v>
      </c>
      <c r="G107" t="s">
        <v>141</v>
      </c>
      <c r="H107" t="s">
        <v>153</v>
      </c>
      <c r="I107" t="s">
        <v>143</v>
      </c>
      <c r="J107">
        <v>120</v>
      </c>
      <c r="K107" t="s">
        <v>331</v>
      </c>
      <c r="L107"/>
      <c r="M107">
        <v>6376</v>
      </c>
      <c r="N107" t="str">
        <f>IF(ISNUMBER(Table1[[#This Row],[طريقه الدفع ]]), "كاش",Table1[[#This Row],[طريقه الدفع ]])</f>
        <v>حساب شركه</v>
      </c>
      <c r="O107" t="s">
        <v>79</v>
      </c>
      <c r="P107"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07">
        <f>IF(OR(ISBLANK(Table1[[#This Row],[تاريخ التسليم]]),ISBLANK(Table1[[#This Row],[ميعاد الطلب]])),0,Table1[[#This Row],[تاريخ التسليم]]-Table1[[#This Row],[ميعاد الطلب]])</f>
        <v>11</v>
      </c>
      <c r="R107" s="20">
        <f>IF(OR(ISBLANK(Table1[[#This Row],[ميعاد التسليم]]),ISBLANK(Table1[[#This Row],[ميعاد الطلب]])),0,Table1[[#This Row],[ميعاد التسليم]]-Table1[[#This Row],[ميعاد الطلب]])</f>
        <v>13</v>
      </c>
      <c r="S107" s="18">
        <v>45610</v>
      </c>
      <c r="T107" s="18">
        <v>45623</v>
      </c>
      <c r="U107" s="18">
        <v>45621</v>
      </c>
      <c r="V107" t="s">
        <v>172</v>
      </c>
      <c r="W107" t="s">
        <v>171</v>
      </c>
    </row>
    <row r="108" spans="1:23" ht="20.100000000000001" customHeight="1" x14ac:dyDescent="0.25">
      <c r="A108" t="s">
        <v>77</v>
      </c>
      <c r="B108" t="s">
        <v>276</v>
      </c>
      <c r="C108" t="s">
        <v>276</v>
      </c>
      <c r="D108" t="s">
        <v>310</v>
      </c>
      <c r="E108" t="s">
        <v>221</v>
      </c>
      <c r="F108" t="s">
        <v>51</v>
      </c>
      <c r="G108" t="s">
        <v>141</v>
      </c>
      <c r="H108" t="s">
        <v>222</v>
      </c>
      <c r="I108" t="s">
        <v>143</v>
      </c>
      <c r="J108">
        <v>90</v>
      </c>
      <c r="K108" t="s">
        <v>328</v>
      </c>
      <c r="L108"/>
      <c r="M108">
        <v>5294</v>
      </c>
      <c r="N108" t="str">
        <f>IF(ISNUMBER(Table1[[#This Row],[طريقه الدفع ]]), "كاش",Table1[[#This Row],[طريقه الدفع ]])</f>
        <v>حساب شركه</v>
      </c>
      <c r="O108" t="s">
        <v>79</v>
      </c>
      <c r="P108"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08">
        <f>IF(OR(ISBLANK(Table1[[#This Row],[تاريخ التسليم]]),ISBLANK(Table1[[#This Row],[ميعاد الطلب]])),0,Table1[[#This Row],[تاريخ التسليم]]-Table1[[#This Row],[ميعاد الطلب]])</f>
        <v>11</v>
      </c>
      <c r="R108" s="20">
        <f>IF(OR(ISBLANK(Table1[[#This Row],[ميعاد التسليم]]),ISBLANK(Table1[[#This Row],[ميعاد الطلب]])),0,Table1[[#This Row],[ميعاد التسليم]]-Table1[[#This Row],[ميعاد الطلب]])</f>
        <v>13</v>
      </c>
      <c r="S108" s="18">
        <v>45610</v>
      </c>
      <c r="T108" s="18">
        <v>45623</v>
      </c>
      <c r="U108" s="18">
        <v>45621</v>
      </c>
      <c r="V108" t="s">
        <v>172</v>
      </c>
      <c r="W108" t="s">
        <v>171</v>
      </c>
    </row>
    <row r="109" spans="1:23" ht="20.100000000000001" customHeight="1" x14ac:dyDescent="0.25">
      <c r="A109" t="s">
        <v>223</v>
      </c>
      <c r="B109" t="s">
        <v>274</v>
      </c>
      <c r="C109" t="s">
        <v>348</v>
      </c>
      <c r="D109" t="s">
        <v>338</v>
      </c>
      <c r="E109" t="s">
        <v>34</v>
      </c>
      <c r="F109" t="s">
        <v>224</v>
      </c>
      <c r="G109" t="s">
        <v>141</v>
      </c>
      <c r="H109" t="s">
        <v>222</v>
      </c>
      <c r="I109" t="s">
        <v>225</v>
      </c>
      <c r="J109">
        <v>80</v>
      </c>
      <c r="K109" t="s">
        <v>326</v>
      </c>
      <c r="L109"/>
      <c r="M109">
        <v>7396</v>
      </c>
      <c r="N109" t="str">
        <f>IF(ISNUMBER(Table1[[#This Row],[طريقه الدفع ]]), "كاش",Table1[[#This Row],[طريقه الدفع ]])</f>
        <v>مسبق الدفع</v>
      </c>
      <c r="O109" t="s">
        <v>14</v>
      </c>
      <c r="P109"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09">
        <f>IF(OR(ISBLANK(Table1[[#This Row],[تاريخ التسليم]]),ISBLANK(Table1[[#This Row],[ميعاد الطلب]])),0,Table1[[#This Row],[تاريخ التسليم]]-Table1[[#This Row],[ميعاد الطلب]])</f>
        <v>9</v>
      </c>
      <c r="R109" s="20">
        <f>IF(OR(ISBLANK(Table1[[#This Row],[ميعاد التسليم]]),ISBLANK(Table1[[#This Row],[ميعاد الطلب]])),0,Table1[[#This Row],[ميعاد التسليم]]-Table1[[#This Row],[ميعاد الطلب]])</f>
        <v>11</v>
      </c>
      <c r="S109" s="18">
        <v>45613</v>
      </c>
      <c r="T109" s="18">
        <v>45624</v>
      </c>
      <c r="U109" s="18">
        <v>45622</v>
      </c>
      <c r="V109" t="s">
        <v>172</v>
      </c>
      <c r="W109" t="s">
        <v>171</v>
      </c>
    </row>
    <row r="110" spans="1:23" ht="20.100000000000001" customHeight="1" x14ac:dyDescent="0.25">
      <c r="A110" t="s">
        <v>123</v>
      </c>
      <c r="B110" t="s">
        <v>274</v>
      </c>
      <c r="C110" t="s">
        <v>348</v>
      </c>
      <c r="D110" t="s">
        <v>338</v>
      </c>
      <c r="E110" t="s">
        <v>226</v>
      </c>
      <c r="F110" t="s">
        <v>6</v>
      </c>
      <c r="G110" t="s">
        <v>141</v>
      </c>
      <c r="H110" t="s">
        <v>153</v>
      </c>
      <c r="I110" t="s">
        <v>145</v>
      </c>
      <c r="J110">
        <v>90</v>
      </c>
      <c r="K110" t="s">
        <v>328</v>
      </c>
      <c r="L110"/>
      <c r="M110">
        <v>13439</v>
      </c>
      <c r="N110" t="str">
        <f>IF(ISNUMBER(Table1[[#This Row],[طريقه الدفع ]]), "كاش",Table1[[#This Row],[طريقه الدفع ]])</f>
        <v>كاش</v>
      </c>
      <c r="O110">
        <v>13575</v>
      </c>
      <c r="P110"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10">
        <f>IF(OR(ISBLANK(Table1[[#This Row],[تاريخ التسليم]]),ISBLANK(Table1[[#This Row],[ميعاد الطلب]])),0,Table1[[#This Row],[تاريخ التسليم]]-Table1[[#This Row],[ميعاد الطلب]])</f>
        <v>6</v>
      </c>
      <c r="R110" s="20">
        <f>IF(OR(ISBLANK(Table1[[#This Row],[ميعاد التسليم]]),ISBLANK(Table1[[#This Row],[ميعاد الطلب]])),0,Table1[[#This Row],[ميعاد التسليم]]-Table1[[#This Row],[ميعاد الطلب]])</f>
        <v>15</v>
      </c>
      <c r="S110" s="18">
        <v>45616</v>
      </c>
      <c r="T110" s="18">
        <v>45631</v>
      </c>
      <c r="U110" s="18">
        <v>45622</v>
      </c>
      <c r="V110" t="s">
        <v>172</v>
      </c>
      <c r="W110" t="s">
        <v>171</v>
      </c>
    </row>
    <row r="111" spans="1:23" ht="20.100000000000001" customHeight="1" x14ac:dyDescent="0.25">
      <c r="A111" t="s">
        <v>36</v>
      </c>
      <c r="B111" t="s">
        <v>276</v>
      </c>
      <c r="C111" t="s">
        <v>276</v>
      </c>
      <c r="D111" t="s">
        <v>342</v>
      </c>
      <c r="E111" t="s">
        <v>41</v>
      </c>
      <c r="F111" t="s">
        <v>38</v>
      </c>
      <c r="G111" t="s">
        <v>141</v>
      </c>
      <c r="H111" t="s">
        <v>227</v>
      </c>
      <c r="I111" t="s">
        <v>228</v>
      </c>
      <c r="J111">
        <v>160</v>
      </c>
      <c r="K111" t="s">
        <v>328</v>
      </c>
      <c r="L111"/>
      <c r="M111">
        <v>5100</v>
      </c>
      <c r="N111" t="str">
        <f>IF(ISNUMBER(Table1[[#This Row],[طريقه الدفع ]]), "كاش",Table1[[#This Row],[طريقه الدفع ]])</f>
        <v>حساب شركه</v>
      </c>
      <c r="O111" t="s">
        <v>79</v>
      </c>
      <c r="P111">
        <f>IF(OR(Table1[[#This Row],[مدة التسليم (الفعلية)]]=0,Table1[[#This Row],[مدة التسليم (المفترضة)]]=0),0,IF(Table1[[#This Row],[مدة التسليم (الفعلية)]]&gt;Table1[[#This Row],[مدة التسليم (المفترضة)]],"تأخير","قبل الموعد"))</f>
        <v>0</v>
      </c>
      <c r="Q111">
        <f>IF(OR(ISBLANK(Table1[[#This Row],[تاريخ التسليم]]),ISBLANK(Table1[[#This Row],[ميعاد الطلب]])),0,Table1[[#This Row],[تاريخ التسليم]]-Table1[[#This Row],[ميعاد الطلب]])</f>
        <v>0</v>
      </c>
      <c r="R111" s="20">
        <f>IF(OR(ISBLANK(Table1[[#This Row],[ميعاد التسليم]]),ISBLANK(Table1[[#This Row],[ميعاد الطلب]])),0,Table1[[#This Row],[ميعاد التسليم]]-Table1[[#This Row],[ميعاد الطلب]])</f>
        <v>24</v>
      </c>
      <c r="S111" s="18">
        <v>45610</v>
      </c>
      <c r="T111" s="18">
        <v>45634</v>
      </c>
      <c r="U111" s="18"/>
      <c r="V111" t="s">
        <v>320</v>
      </c>
      <c r="W111" t="s">
        <v>191</v>
      </c>
    </row>
    <row r="112" spans="1:23" ht="20.100000000000001" customHeight="1" x14ac:dyDescent="0.25">
      <c r="A112" t="s">
        <v>229</v>
      </c>
      <c r="B112" t="s">
        <v>274</v>
      </c>
      <c r="C112" t="s">
        <v>347</v>
      </c>
      <c r="D112" t="s">
        <v>310</v>
      </c>
      <c r="E112" t="s">
        <v>44</v>
      </c>
      <c r="F112" t="s">
        <v>31</v>
      </c>
      <c r="G112" t="s">
        <v>141</v>
      </c>
      <c r="H112" t="s">
        <v>144</v>
      </c>
      <c r="I112" t="s">
        <v>230</v>
      </c>
      <c r="J112">
        <v>160</v>
      </c>
      <c r="K112" t="s">
        <v>158</v>
      </c>
      <c r="L112"/>
      <c r="M112">
        <v>5700</v>
      </c>
      <c r="N112" t="str">
        <f>IF(ISNUMBER(Table1[[#This Row],[طريقه الدفع ]]), "كاش",Table1[[#This Row],[طريقه الدفع ]])</f>
        <v>كاش</v>
      </c>
      <c r="O112">
        <v>5800</v>
      </c>
      <c r="P112"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12">
        <f>IF(OR(ISBLANK(Table1[[#This Row],[تاريخ التسليم]]),ISBLANK(Table1[[#This Row],[ميعاد الطلب]])),0,Table1[[#This Row],[تاريخ التسليم]]-Table1[[#This Row],[ميعاد الطلب]])</f>
        <v>5</v>
      </c>
      <c r="R112" s="20">
        <f>IF(OR(ISBLANK(Table1[[#This Row],[ميعاد التسليم]]),ISBLANK(Table1[[#This Row],[ميعاد الطلب]])),0,Table1[[#This Row],[ميعاد التسليم]]-Table1[[#This Row],[ميعاد الطلب]])</f>
        <v>10</v>
      </c>
      <c r="S112" s="18">
        <v>45618</v>
      </c>
      <c r="T112" s="18">
        <v>45628</v>
      </c>
      <c r="U112" s="18">
        <v>45623</v>
      </c>
      <c r="V112" t="s">
        <v>172</v>
      </c>
      <c r="W112" t="s">
        <v>171</v>
      </c>
    </row>
    <row r="113" spans="1:23" ht="20.100000000000001" customHeight="1" x14ac:dyDescent="0.25">
      <c r="A113" t="s">
        <v>231</v>
      </c>
      <c r="B113" t="s">
        <v>274</v>
      </c>
      <c r="C113" t="s">
        <v>347</v>
      </c>
      <c r="D113" t="s">
        <v>342</v>
      </c>
      <c r="E113" t="s">
        <v>232</v>
      </c>
      <c r="F113" t="s">
        <v>6</v>
      </c>
      <c r="G113" t="s">
        <v>141</v>
      </c>
      <c r="H113" t="s">
        <v>227</v>
      </c>
      <c r="I113" t="s">
        <v>233</v>
      </c>
      <c r="J113">
        <v>120</v>
      </c>
      <c r="K113" t="s">
        <v>331</v>
      </c>
      <c r="L113"/>
      <c r="M113">
        <v>10885</v>
      </c>
      <c r="N113" t="str">
        <f>IF(ISNUMBER(Table1[[#This Row],[طريقه الدفع ]]), "كاش",Table1[[#This Row],[طريقه الدفع ]])</f>
        <v>كاش</v>
      </c>
      <c r="O113">
        <v>7965</v>
      </c>
      <c r="P113" t="str">
        <f>IF(OR(Table1[[#This Row],[مدة التسليم (الفعلية)]]=0,Table1[[#This Row],[مدة التسليم (المفترضة)]]=0),0,IF(Table1[[#This Row],[مدة التسليم (الفعلية)]]&gt;Table1[[#This Row],[مدة التسليم (المفترضة)]],"تأخير","قبل الموعد"))</f>
        <v>تأخير</v>
      </c>
      <c r="Q113">
        <f>IF(OR(ISBLANK(Table1[[#This Row],[تاريخ التسليم]]),ISBLANK(Table1[[#This Row],[ميعاد الطلب]])),0,Table1[[#This Row],[تاريخ التسليم]]-Table1[[#This Row],[ميعاد الطلب]])</f>
        <v>16</v>
      </c>
      <c r="R113" s="20">
        <f>IF(OR(ISBLANK(Table1[[#This Row],[ميعاد التسليم]]),ISBLANK(Table1[[#This Row],[ميعاد الطلب]])),0,Table1[[#This Row],[ميعاد التسليم]]-Table1[[#This Row],[ميعاد الطلب]])</f>
        <v>11</v>
      </c>
      <c r="S113" s="18">
        <v>45620</v>
      </c>
      <c r="T113" s="18">
        <v>45631</v>
      </c>
      <c r="U113" s="18">
        <v>45636</v>
      </c>
      <c r="V113" t="s">
        <v>172</v>
      </c>
      <c r="W113" t="s">
        <v>171</v>
      </c>
    </row>
    <row r="114" spans="1:23" ht="20.100000000000001" customHeight="1" x14ac:dyDescent="0.25">
      <c r="A114" t="s">
        <v>36</v>
      </c>
      <c r="B114" t="s">
        <v>276</v>
      </c>
      <c r="C114" t="s">
        <v>276</v>
      </c>
      <c r="D114" t="s">
        <v>342</v>
      </c>
      <c r="E114" t="s">
        <v>41</v>
      </c>
      <c r="F114" t="s">
        <v>38</v>
      </c>
      <c r="G114" t="s">
        <v>150</v>
      </c>
      <c r="H114" t="s">
        <v>234</v>
      </c>
      <c r="I114" t="s">
        <v>234</v>
      </c>
      <c r="J114"/>
      <c r="K114"/>
      <c r="L114"/>
      <c r="M114">
        <v>6000</v>
      </c>
      <c r="N114" t="str">
        <f>IF(ISNUMBER(Table1[[#This Row],[طريقه الدفع ]]), "كاش",Table1[[#This Row],[طريقه الدفع ]])</f>
        <v>كاش</v>
      </c>
      <c r="O114">
        <v>6000</v>
      </c>
      <c r="P114"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14">
        <f>IF(OR(ISBLANK(Table1[[#This Row],[تاريخ التسليم]]),ISBLANK(Table1[[#This Row],[ميعاد الطلب]])),0,Table1[[#This Row],[تاريخ التسليم]]-Table1[[#This Row],[ميعاد الطلب]])</f>
        <v>1</v>
      </c>
      <c r="R114" s="20">
        <f>IF(OR(ISBLANK(Table1[[#This Row],[ميعاد التسليم]]),ISBLANK(Table1[[#This Row],[ميعاد الطلب]])),0,Table1[[#This Row],[ميعاد التسليم]]-Table1[[#This Row],[ميعاد الطلب]])</f>
        <v>16</v>
      </c>
      <c r="S114" s="18">
        <v>45615</v>
      </c>
      <c r="T114" s="18">
        <v>45631</v>
      </c>
      <c r="U114" s="18">
        <v>45616</v>
      </c>
      <c r="V114" t="s">
        <v>172</v>
      </c>
      <c r="W114" t="s">
        <v>171</v>
      </c>
    </row>
    <row r="115" spans="1:23" ht="20.100000000000001" customHeight="1" x14ac:dyDescent="0.25">
      <c r="A115" t="s">
        <v>235</v>
      </c>
      <c r="B115" t="s">
        <v>274</v>
      </c>
      <c r="C115" t="s">
        <v>348</v>
      </c>
      <c r="D115" t="s">
        <v>339</v>
      </c>
      <c r="E115" t="s">
        <v>236</v>
      </c>
      <c r="F115" t="s">
        <v>6</v>
      </c>
      <c r="G115" t="s">
        <v>237</v>
      </c>
      <c r="H115"/>
      <c r="I115" t="s">
        <v>238</v>
      </c>
      <c r="J115"/>
      <c r="K115"/>
      <c r="L115"/>
      <c r="M115">
        <v>8449</v>
      </c>
      <c r="N115" t="str">
        <f>IF(ISNUMBER(Table1[[#This Row],[طريقه الدفع ]]), "كاش",Table1[[#This Row],[طريقه الدفع ]])</f>
        <v>مسبق الدفع</v>
      </c>
      <c r="O115" t="s">
        <v>14</v>
      </c>
      <c r="P115" t="str">
        <f>IF(OR(Table1[[#This Row],[مدة التسليم (الفعلية)]]=0,Table1[[#This Row],[مدة التسليم (المفترضة)]]=0),0,IF(Table1[[#This Row],[مدة التسليم (الفعلية)]]&gt;Table1[[#This Row],[مدة التسليم (المفترضة)]],"تأخير","قبل الموعد"))</f>
        <v>تأخير</v>
      </c>
      <c r="Q115">
        <f>IF(OR(ISBLANK(Table1[[#This Row],[تاريخ التسليم]]),ISBLANK(Table1[[#This Row],[ميعاد الطلب]])),0,Table1[[#This Row],[تاريخ التسليم]]-Table1[[#This Row],[ميعاد الطلب]])</f>
        <v>26</v>
      </c>
      <c r="R115" s="20">
        <f>IF(OR(ISBLANK(Table1[[#This Row],[ميعاد التسليم]]),ISBLANK(Table1[[#This Row],[ميعاد الطلب]])),0,Table1[[#This Row],[ميعاد التسليم]]-Table1[[#This Row],[ميعاد الطلب]])</f>
        <v>13</v>
      </c>
      <c r="S115" s="18">
        <v>45623</v>
      </c>
      <c r="T115" s="18">
        <v>45636</v>
      </c>
      <c r="U115" s="18">
        <v>45649</v>
      </c>
      <c r="V115" t="s">
        <v>24</v>
      </c>
      <c r="W115" t="s">
        <v>171</v>
      </c>
    </row>
    <row r="116" spans="1:23" ht="20.100000000000001" customHeight="1" x14ac:dyDescent="0.25">
      <c r="A116" t="s">
        <v>239</v>
      </c>
      <c r="B116" t="s">
        <v>274</v>
      </c>
      <c r="C116" t="s">
        <v>347</v>
      </c>
      <c r="D116" t="s">
        <v>342</v>
      </c>
      <c r="E116" t="s">
        <v>54</v>
      </c>
      <c r="F116" t="s">
        <v>6</v>
      </c>
      <c r="G116" t="s">
        <v>237</v>
      </c>
      <c r="H116" t="s">
        <v>240</v>
      </c>
      <c r="I116" t="s">
        <v>241</v>
      </c>
      <c r="J116"/>
      <c r="K116" t="s">
        <v>326</v>
      </c>
      <c r="L116"/>
      <c r="M116">
        <v>10249</v>
      </c>
      <c r="N116" t="str">
        <f>IF(ISNUMBER(Table1[[#This Row],[طريقه الدفع ]]), "كاش",Table1[[#This Row],[طريقه الدفع ]])</f>
        <v>كاش</v>
      </c>
      <c r="O116">
        <v>6211</v>
      </c>
      <c r="P116" t="str">
        <f>IF(OR(Table1[[#This Row],[مدة التسليم (الفعلية)]]=0,Table1[[#This Row],[مدة التسليم (المفترضة)]]=0),0,IF(Table1[[#This Row],[مدة التسليم (الفعلية)]]&gt;Table1[[#This Row],[مدة التسليم (المفترضة)]],"تأخير","قبل الموعد"))</f>
        <v>تأخير</v>
      </c>
      <c r="Q116">
        <f>IF(OR(ISBLANK(Table1[[#This Row],[تاريخ التسليم]]),ISBLANK(Table1[[#This Row],[ميعاد الطلب]])),0,Table1[[#This Row],[تاريخ التسليم]]-Table1[[#This Row],[ميعاد الطلب]])</f>
        <v>22</v>
      </c>
      <c r="R116" s="20">
        <f>IF(OR(ISBLANK(Table1[[#This Row],[ميعاد التسليم]]),ISBLANK(Table1[[#This Row],[ميعاد الطلب]])),0,Table1[[#This Row],[ميعاد التسليم]]-Table1[[#This Row],[ميعاد الطلب]])</f>
        <v>13</v>
      </c>
      <c r="S116" s="18">
        <v>45623</v>
      </c>
      <c r="T116" s="18">
        <v>45636</v>
      </c>
      <c r="U116" s="18">
        <v>45645</v>
      </c>
      <c r="V116" t="s">
        <v>172</v>
      </c>
      <c r="W116" t="s">
        <v>171</v>
      </c>
    </row>
    <row r="117" spans="1:23" ht="20.100000000000001" customHeight="1" x14ac:dyDescent="0.25">
      <c r="A117" t="s">
        <v>242</v>
      </c>
      <c r="B117" t="s">
        <v>274</v>
      </c>
      <c r="C117" t="s">
        <v>347</v>
      </c>
      <c r="D117" t="s">
        <v>339</v>
      </c>
      <c r="E117" t="s">
        <v>243</v>
      </c>
      <c r="F117" t="s">
        <v>6</v>
      </c>
      <c r="G117" t="s">
        <v>141</v>
      </c>
      <c r="H117" t="s">
        <v>153</v>
      </c>
      <c r="I117" t="s">
        <v>146</v>
      </c>
      <c r="J117">
        <v>100</v>
      </c>
      <c r="K117" t="s">
        <v>328</v>
      </c>
      <c r="L117"/>
      <c r="M117">
        <v>14905</v>
      </c>
      <c r="N117" t="str">
        <f>IF(ISNUMBER(Table1[[#This Row],[طريقه الدفع ]]), "كاش",Table1[[#This Row],[طريقه الدفع ]])</f>
        <v>مسبق الدفع</v>
      </c>
      <c r="O117" t="s">
        <v>14</v>
      </c>
      <c r="P117">
        <f>IF(OR(Table1[[#This Row],[مدة التسليم (الفعلية)]]=0,Table1[[#This Row],[مدة التسليم (المفترضة)]]=0),0,IF(Table1[[#This Row],[مدة التسليم (الفعلية)]]&gt;Table1[[#This Row],[مدة التسليم (المفترضة)]],"تأخير","قبل الموعد"))</f>
        <v>0</v>
      </c>
      <c r="Q117">
        <f>IF(OR(ISBLANK(Table1[[#This Row],[تاريخ التسليم]]),ISBLANK(Table1[[#This Row],[ميعاد الطلب]])),0,Table1[[#This Row],[تاريخ التسليم]]-Table1[[#This Row],[ميعاد الطلب]])</f>
        <v>0</v>
      </c>
      <c r="R117" s="20">
        <f>IF(OR(ISBLANK(Table1[[#This Row],[ميعاد التسليم]]),ISBLANK(Table1[[#This Row],[ميعاد الطلب]])),0,Table1[[#This Row],[ميعاد التسليم]]-Table1[[#This Row],[ميعاد الطلب]])</f>
        <v>16</v>
      </c>
      <c r="S117" s="18">
        <v>45625</v>
      </c>
      <c r="T117" s="18">
        <v>45641</v>
      </c>
      <c r="U117" s="18"/>
      <c r="V117" t="s">
        <v>256</v>
      </c>
      <c r="W117" t="s">
        <v>191</v>
      </c>
    </row>
    <row r="118" spans="1:23" ht="20.100000000000001" customHeight="1" x14ac:dyDescent="0.25">
      <c r="A118" t="s">
        <v>244</v>
      </c>
      <c r="B118" t="s">
        <v>274</v>
      </c>
      <c r="C118" t="s">
        <v>347</v>
      </c>
      <c r="D118" t="s">
        <v>342</v>
      </c>
      <c r="E118" t="s">
        <v>62</v>
      </c>
      <c r="F118" t="s">
        <v>6</v>
      </c>
      <c r="G118" t="s">
        <v>237</v>
      </c>
      <c r="H118" t="s">
        <v>240</v>
      </c>
      <c r="I118" t="s">
        <v>241</v>
      </c>
      <c r="J118"/>
      <c r="K118" t="s">
        <v>328</v>
      </c>
      <c r="L118"/>
      <c r="M118">
        <v>10249</v>
      </c>
      <c r="N118" t="str">
        <f>IF(ISNUMBER(Table1[[#This Row],[طريقه الدفع ]]), "كاش",Table1[[#This Row],[طريقه الدفع ]])</f>
        <v>مسبق الدفع</v>
      </c>
      <c r="O118" t="s">
        <v>14</v>
      </c>
      <c r="P118">
        <f>IF(OR(Table1[[#This Row],[مدة التسليم (الفعلية)]]=0,Table1[[#This Row],[مدة التسليم (المفترضة)]]=0),0,IF(Table1[[#This Row],[مدة التسليم (الفعلية)]]&gt;Table1[[#This Row],[مدة التسليم (المفترضة)]],"تأخير","قبل الموعد"))</f>
        <v>0</v>
      </c>
      <c r="Q118">
        <f>IF(OR(ISBLANK(Table1[[#This Row],[تاريخ التسليم]]),ISBLANK(Table1[[#This Row],[ميعاد الطلب]])),0,Table1[[#This Row],[تاريخ التسليم]]-Table1[[#This Row],[ميعاد الطلب]])</f>
        <v>0</v>
      </c>
      <c r="R118" s="20">
        <f>IF(OR(ISBLANK(Table1[[#This Row],[ميعاد التسليم]]),ISBLANK(Table1[[#This Row],[ميعاد الطلب]])),0,Table1[[#This Row],[ميعاد التسليم]]-Table1[[#This Row],[ميعاد الطلب]])</f>
        <v>12</v>
      </c>
      <c r="S118" s="18">
        <v>45626</v>
      </c>
      <c r="T118" s="18">
        <v>45638</v>
      </c>
      <c r="U118" s="18"/>
      <c r="V118" t="s">
        <v>320</v>
      </c>
      <c r="W118" t="s">
        <v>191</v>
      </c>
    </row>
    <row r="119" spans="1:23" ht="20.100000000000001" customHeight="1" x14ac:dyDescent="0.25">
      <c r="A119" t="s">
        <v>245</v>
      </c>
      <c r="B119" t="s">
        <v>274</v>
      </c>
      <c r="C119" t="s">
        <v>347</v>
      </c>
      <c r="D119" t="s">
        <v>342</v>
      </c>
      <c r="E119" t="s">
        <v>62</v>
      </c>
      <c r="F119" t="s">
        <v>6</v>
      </c>
      <c r="G119" t="s">
        <v>237</v>
      </c>
      <c r="H119" t="s">
        <v>167</v>
      </c>
      <c r="I119"/>
      <c r="J119"/>
      <c r="K119" t="s">
        <v>328</v>
      </c>
      <c r="L119"/>
      <c r="M119">
        <v>9029</v>
      </c>
      <c r="N119" t="str">
        <f>IF(ISNUMBER(Table1[[#This Row],[طريقه الدفع ]]), "كاش",Table1[[#This Row],[طريقه الدفع ]])</f>
        <v>مسبق الدفع</v>
      </c>
      <c r="O119" t="s">
        <v>14</v>
      </c>
      <c r="P119">
        <f>IF(OR(Table1[[#This Row],[مدة التسليم (الفعلية)]]=0,Table1[[#This Row],[مدة التسليم (المفترضة)]]=0),0,IF(Table1[[#This Row],[مدة التسليم (الفعلية)]]&gt;Table1[[#This Row],[مدة التسليم (المفترضة)]],"تأخير","قبل الموعد"))</f>
        <v>0</v>
      </c>
      <c r="Q119">
        <f>IF(OR(ISBLANK(Table1[[#This Row],[تاريخ التسليم]]),ISBLANK(Table1[[#This Row],[ميعاد الطلب]])),0,Table1[[#This Row],[تاريخ التسليم]]-Table1[[#This Row],[ميعاد الطلب]])</f>
        <v>0</v>
      </c>
      <c r="R119" s="20">
        <f>IF(OR(ISBLANK(Table1[[#This Row],[ميعاد التسليم]]),ISBLANK(Table1[[#This Row],[ميعاد الطلب]])),0,Table1[[#This Row],[ميعاد التسليم]]-Table1[[#This Row],[ميعاد الطلب]])</f>
        <v>12</v>
      </c>
      <c r="S119" s="18">
        <v>45626</v>
      </c>
      <c r="T119" s="18">
        <v>45638</v>
      </c>
      <c r="U119" s="18"/>
      <c r="V119" t="s">
        <v>320</v>
      </c>
      <c r="W119" t="s">
        <v>191</v>
      </c>
    </row>
    <row r="120" spans="1:23" ht="20.100000000000001" customHeight="1" x14ac:dyDescent="0.25">
      <c r="A120" t="s">
        <v>246</v>
      </c>
      <c r="B120" t="s">
        <v>274</v>
      </c>
      <c r="C120" t="s">
        <v>347</v>
      </c>
      <c r="D120" t="s">
        <v>183</v>
      </c>
      <c r="E120" t="s">
        <v>136</v>
      </c>
      <c r="F120" t="s">
        <v>6</v>
      </c>
      <c r="G120" t="s">
        <v>237</v>
      </c>
      <c r="H120" t="s">
        <v>247</v>
      </c>
      <c r="I120"/>
      <c r="J120"/>
      <c r="K120" t="s">
        <v>328</v>
      </c>
      <c r="L120"/>
      <c r="M120">
        <v>9029</v>
      </c>
      <c r="N120" t="str">
        <f>IF(ISNUMBER(Table1[[#This Row],[طريقه الدفع ]]), "كاش",Table1[[#This Row],[طريقه الدفع ]])</f>
        <v>مسبق الدفع</v>
      </c>
      <c r="O120" t="s">
        <v>14</v>
      </c>
      <c r="P120">
        <f>IF(OR(Table1[[#This Row],[مدة التسليم (الفعلية)]]=0,Table1[[#This Row],[مدة التسليم (المفترضة)]]=0),0,IF(Table1[[#This Row],[مدة التسليم (الفعلية)]]&gt;Table1[[#This Row],[مدة التسليم (المفترضة)]],"تأخير","قبل الموعد"))</f>
        <v>0</v>
      </c>
      <c r="Q120">
        <f>IF(OR(ISBLANK(Table1[[#This Row],[تاريخ التسليم]]),ISBLANK(Table1[[#This Row],[ميعاد الطلب]])),0,Table1[[#This Row],[تاريخ التسليم]]-Table1[[#This Row],[ميعاد الطلب]])</f>
        <v>0</v>
      </c>
      <c r="R120" s="20">
        <f>IF(OR(ISBLANK(Table1[[#This Row],[ميعاد التسليم]]),ISBLANK(Table1[[#This Row],[ميعاد الطلب]])),0,Table1[[#This Row],[ميعاد التسليم]]-Table1[[#This Row],[ميعاد الطلب]])</f>
        <v>12</v>
      </c>
      <c r="S120" s="18">
        <v>45626</v>
      </c>
      <c r="T120" s="18">
        <v>45638</v>
      </c>
      <c r="U120" s="18"/>
      <c r="V120" t="s">
        <v>320</v>
      </c>
      <c r="W120" t="s">
        <v>191</v>
      </c>
    </row>
    <row r="121" spans="1:23" ht="20.100000000000001" customHeight="1" x14ac:dyDescent="0.25">
      <c r="A121" t="s">
        <v>248</v>
      </c>
      <c r="B121" t="s">
        <v>274</v>
      </c>
      <c r="C121" t="s">
        <v>348</v>
      </c>
      <c r="D121" t="s">
        <v>342</v>
      </c>
      <c r="E121" t="s">
        <v>249</v>
      </c>
      <c r="F121" t="s">
        <v>6</v>
      </c>
      <c r="G121" t="s">
        <v>141</v>
      </c>
      <c r="H121" t="s">
        <v>222</v>
      </c>
      <c r="I121" t="s">
        <v>143</v>
      </c>
      <c r="J121">
        <v>80</v>
      </c>
      <c r="K121" t="s">
        <v>326</v>
      </c>
      <c r="L121"/>
      <c r="M121">
        <v>12099</v>
      </c>
      <c r="N121" t="str">
        <f>IF(ISNUMBER(Table1[[#This Row],[طريقه الدفع ]]), "كاش",Table1[[#This Row],[طريقه الدفع ]])</f>
        <v>مسبق الدفع</v>
      </c>
      <c r="O121" t="s">
        <v>14</v>
      </c>
      <c r="P121">
        <f>IF(OR(Table1[[#This Row],[مدة التسليم (الفعلية)]]=0,Table1[[#This Row],[مدة التسليم (المفترضة)]]=0),0,IF(Table1[[#This Row],[مدة التسليم (الفعلية)]]&gt;Table1[[#This Row],[مدة التسليم (المفترضة)]],"تأخير","قبل الموعد"))</f>
        <v>0</v>
      </c>
      <c r="Q121">
        <f>IF(OR(ISBLANK(Table1[[#This Row],[تاريخ التسليم]]),ISBLANK(Table1[[#This Row],[ميعاد الطلب]])),0,Table1[[#This Row],[تاريخ التسليم]]-Table1[[#This Row],[ميعاد الطلب]])</f>
        <v>0</v>
      </c>
      <c r="R121" s="20">
        <f>IF(OR(ISBLANK(Table1[[#This Row],[ميعاد التسليم]]),ISBLANK(Table1[[#This Row],[ميعاد الطلب]])),0,Table1[[#This Row],[ميعاد التسليم]]-Table1[[#This Row],[ميعاد الطلب]])</f>
        <v>15</v>
      </c>
      <c r="S121" s="18">
        <v>45628</v>
      </c>
      <c r="T121" s="18">
        <v>45643</v>
      </c>
      <c r="U121" s="18"/>
      <c r="V121" t="s">
        <v>320</v>
      </c>
      <c r="W121" t="s">
        <v>191</v>
      </c>
    </row>
    <row r="122" spans="1:23" ht="20.100000000000001" customHeight="1" x14ac:dyDescent="0.25">
      <c r="A122" t="s">
        <v>77</v>
      </c>
      <c r="B122" t="s">
        <v>276</v>
      </c>
      <c r="C122" t="s">
        <v>276</v>
      </c>
      <c r="D122" t="s">
        <v>343</v>
      </c>
      <c r="E122" t="s">
        <v>173</v>
      </c>
      <c r="F122" t="s">
        <v>51</v>
      </c>
      <c r="G122" t="s">
        <v>141</v>
      </c>
      <c r="H122" t="s">
        <v>222</v>
      </c>
      <c r="I122" t="s">
        <v>225</v>
      </c>
      <c r="J122">
        <v>90</v>
      </c>
      <c r="K122" t="s">
        <v>329</v>
      </c>
      <c r="L122"/>
      <c r="M122">
        <v>5217</v>
      </c>
      <c r="N122" t="str">
        <f>IF(ISNUMBER(Table1[[#This Row],[طريقه الدفع ]]), "كاش",Table1[[#This Row],[طريقه الدفع ]])</f>
        <v>حساب شركه</v>
      </c>
      <c r="O122" t="s">
        <v>79</v>
      </c>
      <c r="P122"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22">
        <f>IF(OR(ISBLANK(Table1[[#This Row],[تاريخ التسليم]]),ISBLANK(Table1[[#This Row],[ميعاد الطلب]])),0,Table1[[#This Row],[تاريخ التسليم]]-Table1[[#This Row],[ميعاد الطلب]])</f>
        <v>9</v>
      </c>
      <c r="R122" s="20">
        <f>IF(OR(ISBLANK(Table1[[#This Row],[ميعاد التسليم]]),ISBLANK(Table1[[#This Row],[ميعاد الطلب]])),0,Table1[[#This Row],[ميعاد التسليم]]-Table1[[#This Row],[ميعاد الطلب]])</f>
        <v>13</v>
      </c>
      <c r="S122" s="18">
        <v>45627</v>
      </c>
      <c r="T122" s="18">
        <v>45640</v>
      </c>
      <c r="U122" s="18">
        <v>45636</v>
      </c>
      <c r="V122" t="s">
        <v>172</v>
      </c>
      <c r="W122" t="s">
        <v>171</v>
      </c>
    </row>
    <row r="123" spans="1:23" ht="20.100000000000001" customHeight="1" x14ac:dyDescent="0.25">
      <c r="A123" t="s">
        <v>250</v>
      </c>
      <c r="B123" t="s">
        <v>274</v>
      </c>
      <c r="C123" t="s">
        <v>347</v>
      </c>
      <c r="D123" t="s">
        <v>343</v>
      </c>
      <c r="E123" t="s">
        <v>127</v>
      </c>
      <c r="F123" t="s">
        <v>6</v>
      </c>
      <c r="G123" t="s">
        <v>141</v>
      </c>
      <c r="H123" t="s">
        <v>142</v>
      </c>
      <c r="I123"/>
      <c r="J123"/>
      <c r="K123" t="s">
        <v>328</v>
      </c>
      <c r="L123"/>
      <c r="M123">
        <v>10249</v>
      </c>
      <c r="N123" t="str">
        <f>IF(ISNUMBER(Table1[[#This Row],[طريقه الدفع ]]), "كاش",Table1[[#This Row],[طريقه الدفع ]])</f>
        <v>كاش</v>
      </c>
      <c r="O123">
        <v>6211</v>
      </c>
      <c r="P123" t="str">
        <f>IF(OR(Table1[[#This Row],[مدة التسليم (الفعلية)]]=0,Table1[[#This Row],[مدة التسليم (المفترضة)]]=0),0,IF(Table1[[#This Row],[مدة التسليم (الفعلية)]]&gt;Table1[[#This Row],[مدة التسليم (المفترضة)]],"تأخير","قبل الموعد"))</f>
        <v>تأخير</v>
      </c>
      <c r="Q123">
        <f>IF(OR(ISBLANK(Table1[[#This Row],[تاريخ التسليم]]),ISBLANK(Table1[[#This Row],[ميعاد الطلب]])),0,Table1[[#This Row],[تاريخ التسليم]]-Table1[[#This Row],[ميعاد الطلب]])</f>
        <v>15</v>
      </c>
      <c r="R123" s="20">
        <f>IF(OR(ISBLANK(Table1[[#This Row],[ميعاد التسليم]]),ISBLANK(Table1[[#This Row],[ميعاد الطلب]])),0,Table1[[#This Row],[ميعاد التسليم]]-Table1[[#This Row],[ميعاد الطلب]])</f>
        <v>10</v>
      </c>
      <c r="S123" s="18">
        <v>45630</v>
      </c>
      <c r="T123" s="18">
        <v>45640</v>
      </c>
      <c r="U123" s="18">
        <v>45645</v>
      </c>
      <c r="V123" t="s">
        <v>172</v>
      </c>
      <c r="W123" t="s">
        <v>171</v>
      </c>
    </row>
    <row r="124" spans="1:23" ht="20.100000000000001" customHeight="1" x14ac:dyDescent="0.25">
      <c r="A124" t="s">
        <v>251</v>
      </c>
      <c r="B124" t="s">
        <v>274</v>
      </c>
      <c r="C124" t="s">
        <v>348</v>
      </c>
      <c r="D124" t="s">
        <v>342</v>
      </c>
      <c r="E124" t="s">
        <v>252</v>
      </c>
      <c r="F124" t="s">
        <v>47</v>
      </c>
      <c r="G124" t="s">
        <v>141</v>
      </c>
      <c r="H124" t="s">
        <v>153</v>
      </c>
      <c r="I124" t="s">
        <v>145</v>
      </c>
      <c r="J124"/>
      <c r="K124" t="s">
        <v>328</v>
      </c>
      <c r="L124"/>
      <c r="M124">
        <v>10445</v>
      </c>
      <c r="N124" t="str">
        <f>IF(ISNUMBER(Table1[[#This Row],[طريقه الدفع ]]), "كاش",Table1[[#This Row],[طريقه الدفع ]])</f>
        <v>كاش</v>
      </c>
      <c r="O124">
        <v>7707</v>
      </c>
      <c r="P124"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24">
        <f>IF(OR(ISBLANK(Table1[[#This Row],[تاريخ التسليم]]),ISBLANK(Table1[[#This Row],[ميعاد الطلب]])),0,Table1[[#This Row],[تاريخ التسليم]]-Table1[[#This Row],[ميعاد الطلب]])</f>
        <v>3</v>
      </c>
      <c r="R124" s="20">
        <f>IF(OR(ISBLANK(Table1[[#This Row],[ميعاد التسليم]]),ISBLANK(Table1[[#This Row],[ميعاد الطلب]])),0,Table1[[#This Row],[ميعاد التسليم]]-Table1[[#This Row],[ميعاد الطلب]])</f>
        <v>22</v>
      </c>
      <c r="S124" s="18">
        <v>45635</v>
      </c>
      <c r="T124" s="18">
        <v>45657</v>
      </c>
      <c r="U124" s="18">
        <v>45638</v>
      </c>
      <c r="V124" t="s">
        <v>172</v>
      </c>
      <c r="W124" t="s">
        <v>171</v>
      </c>
    </row>
    <row r="125" spans="1:23" ht="20.100000000000001" customHeight="1" x14ac:dyDescent="0.25">
      <c r="A125" t="s">
        <v>253</v>
      </c>
      <c r="B125" t="s">
        <v>274</v>
      </c>
      <c r="C125" t="s">
        <v>348</v>
      </c>
      <c r="D125" t="s">
        <v>342</v>
      </c>
      <c r="E125" t="s">
        <v>62</v>
      </c>
      <c r="F125" t="s">
        <v>6</v>
      </c>
      <c r="G125" t="s">
        <v>237</v>
      </c>
      <c r="H125" t="s">
        <v>254</v>
      </c>
      <c r="I125" t="s">
        <v>241</v>
      </c>
      <c r="J125"/>
      <c r="K125" t="s">
        <v>328</v>
      </c>
      <c r="L125"/>
      <c r="M125">
        <v>11199</v>
      </c>
      <c r="N125" t="str">
        <f>IF(ISNUMBER(Table1[[#This Row],[طريقه الدفع ]]), "كاش",Table1[[#This Row],[طريقه الدفع ]])</f>
        <v>كاش</v>
      </c>
      <c r="O125">
        <v>11257</v>
      </c>
      <c r="P125"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25">
        <f>IF(OR(ISBLANK(Table1[[#This Row],[تاريخ التسليم]]),ISBLANK(Table1[[#This Row],[ميعاد الطلب]])),0,Table1[[#This Row],[تاريخ التسليم]]-Table1[[#This Row],[ميعاد الطلب]])</f>
        <v>7</v>
      </c>
      <c r="R125" s="20">
        <f>IF(OR(ISBLANK(Table1[[#This Row],[ميعاد التسليم]]),ISBLANK(Table1[[#This Row],[ميعاد الطلب]])),0,Table1[[#This Row],[ميعاد التسليم]]-Table1[[#This Row],[ميعاد الطلب]])</f>
        <v>12</v>
      </c>
      <c r="S125" s="18">
        <v>45638</v>
      </c>
      <c r="T125" s="18">
        <v>45650</v>
      </c>
      <c r="U125" s="18">
        <v>45645</v>
      </c>
      <c r="V125" t="s">
        <v>172</v>
      </c>
      <c r="W125" t="s">
        <v>171</v>
      </c>
    </row>
    <row r="126" spans="1:23" ht="20.100000000000001" customHeight="1" x14ac:dyDescent="0.25">
      <c r="A126" t="s">
        <v>255</v>
      </c>
      <c r="B126" t="s">
        <v>274</v>
      </c>
      <c r="C126" t="s">
        <v>347</v>
      </c>
      <c r="D126" t="s">
        <v>338</v>
      </c>
      <c r="E126" t="s">
        <v>226</v>
      </c>
      <c r="F126" t="s">
        <v>6</v>
      </c>
      <c r="G126" t="s">
        <v>141</v>
      </c>
      <c r="H126" t="s">
        <v>153</v>
      </c>
      <c r="I126" t="s">
        <v>143</v>
      </c>
      <c r="J126">
        <v>80</v>
      </c>
      <c r="K126" t="s">
        <v>328</v>
      </c>
      <c r="L126"/>
      <c r="M126">
        <v>13099</v>
      </c>
      <c r="N126" t="str">
        <f>IF(ISNUMBER(Table1[[#This Row],[طريقه الدفع ]]), "كاش",Table1[[#This Row],[طريقه الدفع ]])</f>
        <v>كاش</v>
      </c>
      <c r="O126">
        <v>13231</v>
      </c>
      <c r="P126" t="str">
        <f>IF(OR(Table1[[#This Row],[مدة التسليم (الفعلية)]]=0,Table1[[#This Row],[مدة التسليم (المفترضة)]]=0),0,IF(Table1[[#This Row],[مدة التسليم (الفعلية)]]&gt;Table1[[#This Row],[مدة التسليم (المفترضة)]],"تأخير","قبل الموعد"))</f>
        <v>تأخير</v>
      </c>
      <c r="Q126">
        <f>IF(OR(ISBLANK(Table1[[#This Row],[تاريخ التسليم]]),ISBLANK(Table1[[#This Row],[ميعاد الطلب]])),0,Table1[[#This Row],[تاريخ التسليم]]-Table1[[#This Row],[ميعاد الطلب]])</f>
        <v>17</v>
      </c>
      <c r="R126" s="20">
        <f>IF(OR(ISBLANK(Table1[[#This Row],[ميعاد التسليم]]),ISBLANK(Table1[[#This Row],[ميعاد الطلب]])),0,Table1[[#This Row],[ميعاد التسليم]]-Table1[[#This Row],[ميعاد الطلب]])</f>
        <v>16</v>
      </c>
      <c r="S126" s="18">
        <v>45638</v>
      </c>
      <c r="T126" s="18">
        <v>45654</v>
      </c>
      <c r="U126" s="18">
        <v>45655</v>
      </c>
      <c r="V126" t="s">
        <v>172</v>
      </c>
      <c r="W126" t="s">
        <v>171</v>
      </c>
    </row>
    <row r="127" spans="1:23" ht="20.100000000000001" customHeight="1" x14ac:dyDescent="0.25">
      <c r="A127" t="s">
        <v>47</v>
      </c>
      <c r="B127" t="s">
        <v>276</v>
      </c>
      <c r="C127" t="s">
        <v>276</v>
      </c>
      <c r="D127" t="s">
        <v>310</v>
      </c>
      <c r="E127" t="s">
        <v>192</v>
      </c>
      <c r="F127" t="s">
        <v>47</v>
      </c>
      <c r="G127" t="s">
        <v>150</v>
      </c>
      <c r="H127" t="s">
        <v>179</v>
      </c>
      <c r="I127" t="s">
        <v>215</v>
      </c>
      <c r="J127"/>
      <c r="K127" t="s">
        <v>328</v>
      </c>
      <c r="L127"/>
      <c r="M127">
        <v>8700</v>
      </c>
      <c r="N127" t="str">
        <f>IF(ISNUMBER(Table1[[#This Row],[طريقه الدفع ]]), "كاش",Table1[[#This Row],[طريقه الدفع ]])</f>
        <v>حساب شركه</v>
      </c>
      <c r="O127" t="s">
        <v>79</v>
      </c>
      <c r="P127" t="str">
        <f>IF(OR(Table1[[#This Row],[مدة التسليم (الفعلية)]]=0,Table1[[#This Row],[مدة التسليم (المفترضة)]]=0),0,IF(Table1[[#This Row],[مدة التسليم (الفعلية)]]&gt;Table1[[#This Row],[مدة التسليم (المفترضة)]],"تأخير","قبل الموعد"))</f>
        <v>قبل الموعد</v>
      </c>
      <c r="Q127">
        <f>IF(OR(ISBLANK(Table1[[#This Row],[تاريخ التسليم]]),ISBLANK(Table1[[#This Row],[ميعاد الطلب]])),0,Table1[[#This Row],[تاريخ التسليم]]-Table1[[#This Row],[ميعاد الطلب]])</f>
        <v>15</v>
      </c>
      <c r="R127" s="20">
        <f>IF(OR(ISBLANK(Table1[[#This Row],[ميعاد التسليم]]),ISBLANK(Table1[[#This Row],[ميعاد الطلب]])),0,Table1[[#This Row],[ميعاد التسليم]]-Table1[[#This Row],[ميعاد الطلب]])</f>
        <v>22</v>
      </c>
      <c r="S127" s="18">
        <v>45640</v>
      </c>
      <c r="T127" s="18">
        <v>45662</v>
      </c>
      <c r="U127" s="18">
        <v>45655</v>
      </c>
      <c r="V127" t="s">
        <v>172</v>
      </c>
      <c r="W127" t="s">
        <v>171</v>
      </c>
    </row>
    <row r="128" spans="1:23" ht="20.100000000000001" customHeight="1" x14ac:dyDescent="0.25">
      <c r="A128" s="2"/>
      <c r="B128" s="2"/>
      <c r="C128" s="2"/>
      <c r="D128" s="2"/>
      <c r="E128" s="2"/>
      <c r="F128" s="2"/>
      <c r="G128" s="2"/>
      <c r="H128" s="2"/>
      <c r="I128" s="2"/>
      <c r="J128" s="2"/>
      <c r="K128" s="2"/>
      <c r="L128" s="2"/>
      <c r="M128" s="2"/>
      <c r="N128" s="3"/>
      <c r="O128" s="3"/>
      <c r="P128" s="3"/>
      <c r="Q128" s="21"/>
      <c r="R128" s="5"/>
      <c r="S128" s="5"/>
      <c r="T128" s="5"/>
      <c r="U128" s="2"/>
      <c r="V128" s="1"/>
    </row>
    <row r="129" spans="1:22" ht="20.100000000000001" customHeight="1" x14ac:dyDescent="0.25">
      <c r="A129" s="2"/>
      <c r="B129" s="2"/>
      <c r="C129" s="2"/>
      <c r="D129" s="2"/>
      <c r="E129" s="2"/>
      <c r="F129" s="2"/>
      <c r="G129" s="2"/>
      <c r="H129" s="2"/>
      <c r="I129" s="2"/>
      <c r="J129" s="2"/>
      <c r="K129" s="2"/>
      <c r="L129" s="2"/>
      <c r="M129" s="2"/>
      <c r="N129" s="3"/>
      <c r="O129" s="3"/>
      <c r="P129" s="3"/>
      <c r="Q129" s="21"/>
      <c r="R129" s="5"/>
      <c r="S129" s="5"/>
      <c r="T129" s="5"/>
      <c r="U129" s="2"/>
      <c r="V129" s="1"/>
    </row>
    <row r="130" spans="1:22" ht="20.100000000000001" customHeight="1" x14ac:dyDescent="0.25">
      <c r="A130" s="2"/>
      <c r="B130" s="2"/>
      <c r="C130" s="2"/>
      <c r="D130" s="2"/>
      <c r="E130" s="2"/>
      <c r="F130" s="2"/>
      <c r="G130" s="2"/>
      <c r="H130" s="2"/>
      <c r="I130" s="2"/>
      <c r="J130" s="2"/>
      <c r="K130" s="2"/>
      <c r="L130" s="2"/>
      <c r="M130" s="2"/>
      <c r="N130" s="3"/>
      <c r="O130" s="3"/>
      <c r="P130" s="3"/>
      <c r="Q130" s="21"/>
      <c r="R130" s="5"/>
      <c r="S130" s="5"/>
      <c r="T130" s="5"/>
      <c r="U130" s="2"/>
      <c r="V130" s="1"/>
    </row>
    <row r="131" spans="1:22" ht="20.100000000000001" customHeight="1" x14ac:dyDescent="0.25">
      <c r="A131" s="2"/>
      <c r="B131" s="2"/>
      <c r="C131" s="2"/>
      <c r="D131" s="2"/>
      <c r="E131" s="2"/>
      <c r="F131" s="2"/>
      <c r="G131" s="2"/>
      <c r="H131" s="2"/>
      <c r="I131" s="2"/>
      <c r="J131" s="2"/>
      <c r="K131" s="2"/>
      <c r="L131" s="2"/>
      <c r="M131" s="2"/>
      <c r="N131" s="3"/>
      <c r="O131" s="3"/>
      <c r="P131" s="3"/>
      <c r="Q131" s="21"/>
      <c r="R131" s="5"/>
      <c r="S131" s="5"/>
      <c r="T131" s="5"/>
      <c r="U131" s="2"/>
      <c r="V131" s="1"/>
    </row>
    <row r="132" spans="1:22" ht="20.100000000000001" customHeight="1" x14ac:dyDescent="0.25">
      <c r="A132" s="2"/>
      <c r="B132" s="2"/>
      <c r="C132" s="2"/>
      <c r="D132" s="2"/>
      <c r="E132" s="2"/>
      <c r="F132" s="2"/>
      <c r="G132" s="2"/>
      <c r="H132" s="2"/>
      <c r="I132" s="2"/>
      <c r="J132" s="2"/>
      <c r="K132" s="2"/>
      <c r="L132" s="2"/>
      <c r="M132" s="2"/>
      <c r="N132" s="3"/>
      <c r="O132" s="3"/>
      <c r="P132" s="3"/>
      <c r="Q132" s="21"/>
      <c r="R132" s="5"/>
      <c r="S132" s="5"/>
      <c r="T132" s="5"/>
      <c r="U132" s="2"/>
      <c r="V132" s="1"/>
    </row>
    <row r="133" spans="1:22" ht="20.100000000000001" customHeight="1" x14ac:dyDescent="0.25">
      <c r="A133" s="2"/>
      <c r="B133" s="2"/>
      <c r="C133" s="2"/>
      <c r="D133" s="2"/>
      <c r="E133" s="2"/>
      <c r="F133" s="2"/>
      <c r="G133" s="2"/>
      <c r="H133" s="2"/>
      <c r="I133" s="2"/>
      <c r="J133" s="2"/>
      <c r="K133" s="2"/>
      <c r="L133" s="2"/>
      <c r="M133" s="2"/>
      <c r="N133" s="3"/>
      <c r="O133" s="3"/>
      <c r="P133" s="3"/>
      <c r="Q133" s="21"/>
      <c r="R133" s="5"/>
      <c r="S133" s="5"/>
      <c r="T133" s="5"/>
      <c r="U133" s="2"/>
      <c r="V133" s="1"/>
    </row>
    <row r="134" spans="1:22" ht="20.100000000000001" customHeight="1" x14ac:dyDescent="0.25">
      <c r="A134" s="2"/>
      <c r="B134" s="2"/>
      <c r="C134" s="2"/>
      <c r="D134" s="2"/>
      <c r="E134" s="2"/>
      <c r="F134" s="2"/>
      <c r="G134" s="2"/>
      <c r="H134" s="2"/>
      <c r="I134" s="2"/>
      <c r="J134" s="2"/>
      <c r="K134" s="2"/>
      <c r="L134" s="2"/>
      <c r="M134" s="2"/>
      <c r="N134" s="3"/>
      <c r="O134" s="3"/>
      <c r="P134" s="3"/>
      <c r="Q134" s="21"/>
      <c r="R134" s="5"/>
      <c r="S134" s="5"/>
      <c r="T134" s="5"/>
      <c r="U134" s="2"/>
      <c r="V134" s="1"/>
    </row>
    <row r="135" spans="1:22" ht="20.100000000000001" customHeight="1" x14ac:dyDescent="0.25">
      <c r="A135" s="2"/>
      <c r="B135" s="2"/>
      <c r="C135" s="2"/>
      <c r="D135" s="2"/>
      <c r="E135" s="2"/>
      <c r="F135" s="2"/>
      <c r="G135" s="2"/>
      <c r="H135" s="2"/>
      <c r="I135" s="2"/>
      <c r="J135" s="2"/>
      <c r="K135" s="2"/>
      <c r="L135" s="2"/>
      <c r="M135" s="2"/>
      <c r="N135" s="3"/>
      <c r="O135" s="3"/>
      <c r="P135" s="3"/>
      <c r="Q135" s="21"/>
      <c r="R135" s="5"/>
      <c r="S135" s="5"/>
      <c r="T135" s="5"/>
      <c r="U135" s="2"/>
      <c r="V135" s="1"/>
    </row>
    <row r="136" spans="1:22" ht="20.100000000000001" customHeight="1" x14ac:dyDescent="0.25">
      <c r="A136" s="2"/>
      <c r="B136" s="2"/>
      <c r="C136" s="2"/>
      <c r="D136" s="2"/>
      <c r="E136" s="2"/>
      <c r="F136" s="2"/>
      <c r="G136" s="2"/>
      <c r="H136" s="2"/>
      <c r="I136" s="2"/>
      <c r="J136" s="2"/>
      <c r="K136" s="2"/>
      <c r="L136" s="2"/>
      <c r="M136" s="2"/>
      <c r="N136" s="3"/>
      <c r="O136" s="3"/>
      <c r="P136" s="3"/>
      <c r="Q136" s="21"/>
      <c r="R136" s="5"/>
      <c r="S136" s="5"/>
      <c r="T136" s="5"/>
      <c r="U136" s="2"/>
      <c r="V136" s="1"/>
    </row>
    <row r="137" spans="1:22" ht="20.100000000000001" customHeight="1" x14ac:dyDescent="0.25">
      <c r="A137" s="2"/>
      <c r="B137" s="2"/>
      <c r="C137" s="2"/>
      <c r="D137" s="2"/>
      <c r="E137" s="2"/>
      <c r="F137" s="2"/>
      <c r="G137" s="2"/>
      <c r="H137" s="2"/>
      <c r="I137" s="2"/>
      <c r="J137" s="2"/>
      <c r="K137" s="2"/>
      <c r="L137" s="2"/>
      <c r="M137" s="2"/>
      <c r="N137" s="3"/>
      <c r="O137" s="3"/>
      <c r="P137" s="3"/>
      <c r="Q137" s="21"/>
      <c r="R137" s="5"/>
      <c r="S137" s="5"/>
      <c r="T137" s="5"/>
      <c r="U137" s="2"/>
      <c r="V137" s="1"/>
    </row>
    <row r="138" spans="1:22" ht="20.100000000000001" customHeight="1" x14ac:dyDescent="0.25">
      <c r="A138" s="2"/>
      <c r="B138" s="2"/>
      <c r="C138" s="2"/>
      <c r="D138" s="2"/>
      <c r="E138" s="2"/>
      <c r="F138" s="2"/>
      <c r="G138" s="2"/>
      <c r="H138" s="2"/>
      <c r="I138" s="2"/>
      <c r="J138" s="2"/>
      <c r="K138" s="2"/>
      <c r="L138" s="2"/>
      <c r="M138" s="2"/>
      <c r="N138" s="3"/>
      <c r="O138" s="3"/>
      <c r="P138" s="3"/>
      <c r="Q138" s="21"/>
      <c r="R138" s="5"/>
      <c r="S138" s="5"/>
      <c r="T138" s="5"/>
      <c r="U138" s="2"/>
      <c r="V138" s="1"/>
    </row>
    <row r="139" spans="1:22" ht="20.100000000000001" customHeight="1" x14ac:dyDescent="0.25">
      <c r="A139" s="2"/>
      <c r="B139" s="2"/>
      <c r="C139" s="2"/>
      <c r="D139" s="2"/>
      <c r="E139" s="2"/>
      <c r="F139" s="2"/>
      <c r="G139" s="2"/>
      <c r="H139" s="2"/>
      <c r="I139" s="2"/>
      <c r="J139" s="2"/>
      <c r="K139" s="2"/>
      <c r="L139" s="2"/>
      <c r="M139" s="2"/>
      <c r="N139" s="3"/>
      <c r="O139" s="3"/>
      <c r="P139" s="3"/>
      <c r="Q139" s="21"/>
      <c r="R139" s="5"/>
      <c r="S139" s="5"/>
      <c r="T139" s="5"/>
      <c r="U139" s="2"/>
      <c r="V139" s="1"/>
    </row>
    <row r="140" spans="1:22" ht="20.100000000000001" customHeight="1" x14ac:dyDescent="0.25">
      <c r="A140" s="2"/>
      <c r="B140" s="2"/>
      <c r="C140" s="2"/>
      <c r="D140" s="2"/>
      <c r="E140" s="2"/>
      <c r="F140" s="2"/>
      <c r="G140" s="2"/>
      <c r="H140" s="2"/>
      <c r="I140" s="2"/>
      <c r="J140" s="2"/>
      <c r="K140" s="2"/>
      <c r="L140" s="2"/>
      <c r="M140" s="2"/>
      <c r="N140" s="3"/>
      <c r="O140" s="3"/>
      <c r="P140" s="3"/>
      <c r="Q140" s="21"/>
      <c r="R140" s="5"/>
      <c r="S140" s="5"/>
      <c r="T140" s="5"/>
      <c r="U140" s="2"/>
      <c r="V140" s="1"/>
    </row>
    <row r="141" spans="1:22" ht="20.100000000000001" customHeight="1" x14ac:dyDescent="0.25">
      <c r="A141" s="2"/>
      <c r="B141" s="2"/>
      <c r="C141" s="2"/>
      <c r="D141" s="2"/>
      <c r="E141" s="2"/>
      <c r="F141" s="2"/>
      <c r="G141" s="2"/>
      <c r="H141" s="2"/>
      <c r="I141" s="2"/>
      <c r="J141" s="2"/>
      <c r="K141" s="2"/>
      <c r="L141" s="2"/>
      <c r="M141" s="2"/>
      <c r="N141" s="3"/>
      <c r="O141" s="3"/>
      <c r="P141" s="3"/>
      <c r="Q141" s="21"/>
      <c r="R141" s="5"/>
      <c r="S141" s="5"/>
      <c r="T141" s="5"/>
      <c r="U141" s="2"/>
      <c r="V141" s="1"/>
    </row>
    <row r="142" spans="1:22" ht="20.100000000000001" customHeight="1" x14ac:dyDescent="0.25">
      <c r="A142" s="2"/>
      <c r="B142" s="2"/>
      <c r="C142" s="2"/>
      <c r="D142" s="2"/>
      <c r="E142" s="2"/>
      <c r="F142" s="2"/>
      <c r="G142" s="2"/>
      <c r="H142" s="2"/>
      <c r="I142" s="2"/>
      <c r="J142" s="2"/>
      <c r="K142" s="2"/>
      <c r="L142" s="2"/>
      <c r="M142" s="2"/>
      <c r="N142" s="3"/>
      <c r="O142" s="3"/>
      <c r="P142" s="3"/>
      <c r="Q142" s="21"/>
      <c r="R142" s="5"/>
      <c r="S142" s="5"/>
      <c r="T142" s="5"/>
      <c r="U142" s="2"/>
      <c r="V142" s="1"/>
    </row>
    <row r="143" spans="1:22" ht="20.100000000000001" customHeight="1" x14ac:dyDescent="0.25">
      <c r="A143" s="2"/>
      <c r="B143" s="2"/>
      <c r="C143" s="2"/>
      <c r="D143" s="2"/>
      <c r="E143" s="2"/>
      <c r="F143" s="2"/>
      <c r="G143" s="2"/>
      <c r="H143" s="2"/>
      <c r="I143" s="2"/>
      <c r="J143" s="2"/>
      <c r="K143" s="2"/>
      <c r="L143" s="2"/>
      <c r="M143" s="2"/>
      <c r="N143" s="3"/>
      <c r="O143" s="3"/>
      <c r="P143" s="3"/>
      <c r="Q143" s="21"/>
      <c r="R143" s="5"/>
      <c r="S143" s="5"/>
      <c r="T143" s="5"/>
      <c r="U143" s="2"/>
      <c r="V143" s="1"/>
    </row>
    <row r="144" spans="1:22" ht="20.100000000000001" customHeight="1" x14ac:dyDescent="0.25">
      <c r="A144" s="2"/>
      <c r="B144" s="2"/>
      <c r="C144" s="2"/>
      <c r="D144" s="2"/>
      <c r="E144" s="2"/>
      <c r="F144" s="2"/>
      <c r="G144" s="2"/>
      <c r="H144" s="2"/>
      <c r="I144" s="2"/>
      <c r="J144" s="2"/>
      <c r="K144" s="2"/>
      <c r="L144" s="2"/>
      <c r="M144" s="2"/>
      <c r="N144" s="3"/>
      <c r="O144" s="3"/>
      <c r="P144" s="3"/>
      <c r="Q144" s="21"/>
      <c r="R144" s="5"/>
      <c r="S144" s="5"/>
      <c r="T144" s="5"/>
      <c r="U144" s="2"/>
      <c r="V144" s="1"/>
    </row>
    <row r="145" spans="1:22" ht="20.100000000000001" customHeight="1" x14ac:dyDescent="0.25">
      <c r="A145" s="2"/>
      <c r="B145" s="2"/>
      <c r="C145" s="2"/>
      <c r="D145" s="2"/>
      <c r="E145" s="2"/>
      <c r="F145" s="2"/>
      <c r="G145" s="2"/>
      <c r="H145" s="2"/>
      <c r="I145" s="2"/>
      <c r="J145" s="2"/>
      <c r="K145" s="2"/>
      <c r="L145" s="2"/>
      <c r="M145" s="2"/>
      <c r="N145" s="3"/>
      <c r="O145" s="3"/>
      <c r="P145" s="3"/>
      <c r="Q145" s="21"/>
      <c r="R145" s="5"/>
      <c r="S145" s="5"/>
      <c r="T145" s="5"/>
      <c r="U145" s="2"/>
      <c r="V145" s="1"/>
    </row>
    <row r="146" spans="1:22" ht="20.100000000000001" customHeight="1" x14ac:dyDescent="0.25">
      <c r="A146" s="2"/>
      <c r="B146" s="2"/>
      <c r="C146" s="2"/>
      <c r="D146" s="2"/>
      <c r="E146" s="2"/>
      <c r="F146" s="2"/>
      <c r="G146" s="2"/>
      <c r="H146" s="2"/>
      <c r="I146" s="2"/>
      <c r="J146" s="2"/>
      <c r="K146" s="2"/>
      <c r="L146" s="2"/>
      <c r="M146" s="2"/>
      <c r="N146" s="3"/>
      <c r="O146" s="3"/>
      <c r="P146" s="3"/>
      <c r="Q146" s="21"/>
      <c r="R146" s="5"/>
      <c r="S146" s="5"/>
      <c r="T146" s="5"/>
      <c r="U146" s="2"/>
      <c r="V146" s="1"/>
    </row>
    <row r="147" spans="1:22" ht="20.100000000000001" customHeight="1" x14ac:dyDescent="0.25">
      <c r="A147" s="2"/>
      <c r="B147" s="2"/>
      <c r="C147" s="2"/>
      <c r="D147" s="2"/>
      <c r="E147" s="2"/>
      <c r="F147" s="2"/>
      <c r="G147" s="2"/>
      <c r="H147" s="2"/>
      <c r="I147" s="2"/>
      <c r="J147" s="2"/>
      <c r="K147" s="2"/>
      <c r="L147" s="2"/>
      <c r="M147" s="2"/>
      <c r="N147" s="3"/>
      <c r="O147" s="3"/>
      <c r="P147" s="3"/>
      <c r="Q147" s="21"/>
      <c r="R147" s="5"/>
      <c r="S147" s="5"/>
      <c r="T147" s="5"/>
      <c r="U147" s="2"/>
      <c r="V147" s="1"/>
    </row>
    <row r="148" spans="1:22" ht="20.100000000000001" customHeight="1" x14ac:dyDescent="0.25">
      <c r="A148" s="2"/>
      <c r="B148" s="2"/>
      <c r="C148" s="2"/>
      <c r="D148" s="2"/>
      <c r="E148" s="2"/>
      <c r="F148" s="2"/>
      <c r="G148" s="2"/>
      <c r="H148" s="2"/>
      <c r="I148" s="2"/>
      <c r="J148" s="2"/>
      <c r="K148" s="2"/>
      <c r="L148" s="2"/>
      <c r="M148" s="2"/>
      <c r="N148" s="3"/>
      <c r="O148" s="3"/>
      <c r="P148" s="3"/>
      <c r="Q148" s="21"/>
      <c r="R148" s="5"/>
      <c r="S148" s="5"/>
      <c r="T148" s="5"/>
      <c r="U148" s="2"/>
      <c r="V148" s="1"/>
    </row>
    <row r="149" spans="1:22" ht="20.100000000000001" customHeight="1" x14ac:dyDescent="0.25">
      <c r="A149" s="2"/>
      <c r="B149" s="2"/>
      <c r="C149" s="2"/>
      <c r="D149" s="2"/>
      <c r="E149" s="2"/>
      <c r="F149" s="2"/>
      <c r="G149" s="2"/>
      <c r="H149" s="2"/>
      <c r="I149" s="2"/>
      <c r="J149" s="2"/>
      <c r="K149" s="2"/>
      <c r="L149" s="2"/>
      <c r="M149" s="2"/>
      <c r="N149" s="3"/>
      <c r="O149" s="3"/>
      <c r="P149" s="3"/>
      <c r="Q149" s="21"/>
      <c r="R149" s="5"/>
      <c r="S149" s="5"/>
      <c r="T149" s="5"/>
      <c r="U149" s="2"/>
      <c r="V149" s="1"/>
    </row>
    <row r="150" spans="1:22" ht="20.100000000000001" customHeight="1" x14ac:dyDescent="0.25">
      <c r="A150" s="2"/>
      <c r="B150" s="2"/>
      <c r="C150" s="2"/>
      <c r="D150" s="2"/>
      <c r="E150" s="2"/>
      <c r="F150" s="2"/>
      <c r="G150" s="2"/>
      <c r="H150" s="2"/>
      <c r="I150" s="2"/>
      <c r="J150" s="2"/>
      <c r="K150" s="2"/>
      <c r="L150" s="2"/>
      <c r="M150" s="2"/>
      <c r="N150" s="3"/>
      <c r="O150" s="3"/>
      <c r="P150" s="3"/>
      <c r="Q150" s="21"/>
      <c r="R150" s="5"/>
      <c r="S150" s="5"/>
      <c r="T150" s="5"/>
      <c r="U150" s="2"/>
      <c r="V150" s="1"/>
    </row>
    <row r="151" spans="1:22" ht="20.100000000000001" customHeight="1" x14ac:dyDescent="0.25">
      <c r="A151" s="2"/>
      <c r="B151" s="2"/>
      <c r="C151" s="2"/>
      <c r="D151" s="2"/>
      <c r="E151" s="2"/>
      <c r="F151" s="2"/>
      <c r="G151" s="2"/>
      <c r="H151" s="2"/>
      <c r="I151" s="2"/>
      <c r="J151" s="2"/>
      <c r="K151" s="2"/>
      <c r="L151" s="2"/>
      <c r="M151" s="2"/>
      <c r="N151" s="3"/>
      <c r="O151" s="3"/>
      <c r="P151" s="3"/>
      <c r="Q151" s="21"/>
      <c r="R151" s="5"/>
      <c r="S151" s="5"/>
      <c r="T151" s="5"/>
      <c r="U151" s="2"/>
      <c r="V151" s="1"/>
    </row>
    <row r="152" spans="1:22" ht="20.100000000000001" customHeight="1" x14ac:dyDescent="0.25">
      <c r="A152" s="2"/>
      <c r="B152" s="2"/>
      <c r="C152" s="2"/>
      <c r="D152" s="2"/>
      <c r="E152" s="2"/>
      <c r="F152" s="2"/>
      <c r="G152" s="2"/>
      <c r="H152" s="2"/>
      <c r="I152" s="2"/>
      <c r="J152" s="2"/>
      <c r="K152" s="2"/>
      <c r="L152" s="2"/>
      <c r="M152" s="2"/>
      <c r="N152" s="3"/>
      <c r="O152" s="3"/>
      <c r="P152" s="3"/>
      <c r="Q152" s="21"/>
      <c r="R152" s="5"/>
      <c r="S152" s="5"/>
      <c r="T152" s="5"/>
      <c r="U152" s="2"/>
      <c r="V152" s="1"/>
    </row>
    <row r="153" spans="1:22" ht="20.100000000000001" customHeight="1" x14ac:dyDescent="0.25">
      <c r="A153" s="2"/>
      <c r="B153" s="2"/>
      <c r="C153" s="2"/>
      <c r="D153" s="2"/>
      <c r="E153" s="2"/>
      <c r="F153" s="2"/>
      <c r="G153" s="2"/>
      <c r="H153" s="2"/>
      <c r="I153" s="2"/>
      <c r="J153" s="2"/>
      <c r="K153" s="2"/>
      <c r="L153" s="2"/>
      <c r="M153" s="2"/>
      <c r="N153" s="3"/>
      <c r="O153" s="3"/>
      <c r="P153" s="3"/>
      <c r="Q153" s="21"/>
      <c r="R153" s="5"/>
      <c r="S153" s="5"/>
      <c r="T153" s="5"/>
      <c r="U153" s="2"/>
      <c r="V153" s="1"/>
    </row>
    <row r="154" spans="1:22" ht="20.100000000000001" customHeight="1" x14ac:dyDescent="0.25">
      <c r="A154" s="2"/>
      <c r="B154" s="2"/>
      <c r="C154" s="2"/>
      <c r="D154" s="2"/>
      <c r="E154" s="2"/>
      <c r="F154" s="2"/>
      <c r="G154" s="2"/>
      <c r="H154" s="2"/>
      <c r="I154" s="2"/>
      <c r="J154" s="2"/>
      <c r="K154" s="2"/>
      <c r="L154" s="2"/>
      <c r="M154" s="2"/>
      <c r="N154" s="3"/>
      <c r="O154" s="3"/>
      <c r="P154" s="3"/>
      <c r="Q154" s="21"/>
      <c r="R154" s="5"/>
      <c r="S154" s="5"/>
      <c r="T154" s="5"/>
      <c r="U154" s="2"/>
      <c r="V154" s="1"/>
    </row>
    <row r="155" spans="1:22" ht="20.100000000000001" customHeight="1" x14ac:dyDescent="0.25">
      <c r="A155" s="2"/>
      <c r="B155" s="2"/>
      <c r="C155" s="2"/>
      <c r="D155" s="2"/>
      <c r="E155" s="2"/>
      <c r="F155" s="2"/>
      <c r="G155" s="2"/>
      <c r="H155" s="2"/>
      <c r="I155" s="2"/>
      <c r="J155" s="2"/>
      <c r="K155" s="2"/>
      <c r="L155" s="2"/>
      <c r="M155" s="2"/>
      <c r="N155" s="3"/>
      <c r="O155" s="3"/>
      <c r="P155" s="3"/>
      <c r="Q155" s="21"/>
      <c r="R155" s="5"/>
      <c r="S155" s="5"/>
      <c r="T155" s="5"/>
      <c r="U155" s="2"/>
      <c r="V155" s="1"/>
    </row>
    <row r="156" spans="1:22" ht="20.100000000000001" customHeight="1" x14ac:dyDescent="0.25">
      <c r="A156" s="2"/>
      <c r="B156" s="2"/>
      <c r="C156" s="2"/>
      <c r="D156" s="2"/>
      <c r="E156" s="2"/>
      <c r="F156" s="2"/>
      <c r="G156" s="2"/>
      <c r="H156" s="2"/>
      <c r="I156" s="2"/>
      <c r="J156" s="2"/>
      <c r="K156" s="2"/>
      <c r="L156" s="2"/>
      <c r="M156" s="2"/>
      <c r="N156" s="3"/>
      <c r="O156" s="3"/>
      <c r="P156" s="3"/>
      <c r="Q156" s="21"/>
      <c r="R156" s="5"/>
      <c r="S156" s="5"/>
      <c r="T156" s="5"/>
      <c r="U156" s="2"/>
      <c r="V156" s="1"/>
    </row>
    <row r="157" spans="1:22" ht="20.100000000000001" customHeight="1" x14ac:dyDescent="0.25">
      <c r="A157" s="2"/>
      <c r="B157" s="2"/>
      <c r="C157" s="2"/>
      <c r="D157" s="2"/>
      <c r="E157" s="2"/>
      <c r="F157" s="2"/>
      <c r="G157" s="2"/>
      <c r="H157" s="2"/>
      <c r="I157" s="2"/>
      <c r="J157" s="2"/>
      <c r="K157" s="2"/>
      <c r="L157" s="2"/>
      <c r="M157" s="2"/>
      <c r="N157" s="3"/>
      <c r="O157" s="3"/>
      <c r="P157" s="3"/>
      <c r="Q157" s="21"/>
      <c r="R157" s="5"/>
      <c r="S157" s="5"/>
      <c r="T157" s="5"/>
      <c r="U157" s="2"/>
      <c r="V157" s="1"/>
    </row>
    <row r="158" spans="1:22" ht="20.100000000000001" customHeight="1" x14ac:dyDescent="0.25">
      <c r="A158" s="2"/>
      <c r="B158" s="2"/>
      <c r="C158" s="2"/>
      <c r="D158" s="2"/>
      <c r="E158" s="2"/>
      <c r="F158" s="2"/>
      <c r="G158" s="2"/>
      <c r="H158" s="2"/>
      <c r="I158" s="2"/>
      <c r="J158" s="2"/>
      <c r="K158" s="2"/>
      <c r="L158" s="2"/>
      <c r="M158" s="2"/>
      <c r="N158" s="3"/>
      <c r="O158" s="3"/>
      <c r="P158" s="3"/>
      <c r="Q158" s="21"/>
      <c r="R158" s="5"/>
      <c r="S158" s="5"/>
      <c r="T158" s="5"/>
      <c r="U158" s="2"/>
      <c r="V158" s="1"/>
    </row>
    <row r="159" spans="1:22" ht="20.100000000000001" customHeight="1" x14ac:dyDescent="0.25">
      <c r="A159" s="2"/>
      <c r="B159" s="2"/>
      <c r="C159" s="2"/>
      <c r="D159" s="2"/>
      <c r="E159" s="2"/>
      <c r="F159" s="2"/>
      <c r="G159" s="2"/>
      <c r="H159" s="2"/>
      <c r="I159" s="2"/>
      <c r="J159" s="2"/>
      <c r="K159" s="2"/>
      <c r="L159" s="2"/>
      <c r="M159" s="2"/>
      <c r="N159" s="3"/>
      <c r="O159" s="3"/>
      <c r="P159" s="3"/>
      <c r="Q159" s="21"/>
      <c r="R159" s="5"/>
      <c r="S159" s="5"/>
      <c r="T159" s="5"/>
      <c r="U159" s="2"/>
      <c r="V159" s="1"/>
    </row>
    <row r="160" spans="1:22" ht="20.100000000000001" customHeight="1" x14ac:dyDescent="0.25">
      <c r="A160" s="2"/>
      <c r="B160" s="2"/>
      <c r="C160" s="2"/>
      <c r="D160" s="2"/>
      <c r="E160" s="2"/>
      <c r="F160" s="2"/>
      <c r="G160" s="2"/>
      <c r="H160" s="2"/>
      <c r="I160" s="2"/>
      <c r="J160" s="2"/>
      <c r="K160" s="2"/>
      <c r="L160" s="2"/>
      <c r="M160" s="2"/>
      <c r="N160" s="3"/>
      <c r="O160" s="3"/>
      <c r="P160" s="3"/>
      <c r="Q160" s="21"/>
      <c r="R160" s="5"/>
      <c r="S160" s="5"/>
      <c r="T160" s="5"/>
      <c r="U160" s="2"/>
      <c r="V160" s="1"/>
    </row>
    <row r="161" spans="1:22" ht="20.100000000000001" customHeight="1" x14ac:dyDescent="0.25">
      <c r="A161" s="2"/>
      <c r="B161" s="2"/>
      <c r="C161" s="2"/>
      <c r="D161" s="2"/>
      <c r="E161" s="2"/>
      <c r="F161" s="2"/>
      <c r="G161" s="2"/>
      <c r="H161" s="2"/>
      <c r="I161" s="2"/>
      <c r="J161" s="2"/>
      <c r="K161" s="2"/>
      <c r="L161" s="2"/>
      <c r="M161" s="2"/>
      <c r="N161" s="3"/>
      <c r="O161" s="3"/>
      <c r="P161" s="3"/>
      <c r="Q161" s="21"/>
      <c r="R161" s="5"/>
      <c r="S161" s="5"/>
      <c r="T161" s="5"/>
      <c r="U161" s="2"/>
      <c r="V161" s="1"/>
    </row>
    <row r="162" spans="1:22" ht="20.100000000000001" customHeight="1" x14ac:dyDescent="0.25">
      <c r="A162" s="2"/>
      <c r="B162" s="2"/>
      <c r="C162" s="2"/>
      <c r="D162" s="2"/>
      <c r="E162" s="2"/>
      <c r="F162" s="2"/>
      <c r="G162" s="2"/>
      <c r="H162" s="2"/>
      <c r="I162" s="2"/>
      <c r="J162" s="2"/>
      <c r="K162" s="2"/>
      <c r="L162" s="2"/>
      <c r="M162" s="2"/>
      <c r="N162" s="3"/>
      <c r="O162" s="3"/>
      <c r="P162" s="3"/>
      <c r="Q162" s="21"/>
      <c r="R162" s="5"/>
      <c r="S162" s="5"/>
      <c r="T162" s="5"/>
      <c r="U162" s="2"/>
      <c r="V162" s="1"/>
    </row>
    <row r="163" spans="1:22" ht="20.100000000000001" customHeight="1" x14ac:dyDescent="0.25">
      <c r="A163" s="2"/>
      <c r="B163" s="2"/>
      <c r="C163" s="2"/>
      <c r="D163" s="2"/>
      <c r="E163" s="2"/>
      <c r="F163" s="2"/>
      <c r="G163" s="2"/>
      <c r="H163" s="2"/>
      <c r="I163" s="2"/>
      <c r="J163" s="2"/>
      <c r="K163" s="2"/>
      <c r="L163" s="2"/>
      <c r="M163" s="2"/>
      <c r="N163" s="3"/>
      <c r="O163" s="3"/>
      <c r="P163" s="3"/>
      <c r="Q163" s="21"/>
      <c r="R163" s="5"/>
      <c r="S163" s="5"/>
      <c r="T163" s="5"/>
      <c r="U163" s="2"/>
      <c r="V163" s="1"/>
    </row>
    <row r="164" spans="1:22" ht="20.100000000000001" customHeight="1" x14ac:dyDescent="0.25">
      <c r="A164" s="2"/>
      <c r="B164" s="2"/>
      <c r="C164" s="2"/>
      <c r="D164" s="2"/>
      <c r="E164" s="2"/>
      <c r="F164" s="2"/>
      <c r="G164" s="2"/>
      <c r="H164" s="2"/>
      <c r="I164" s="2"/>
      <c r="J164" s="2"/>
      <c r="K164" s="2"/>
      <c r="L164" s="2"/>
      <c r="M164" s="2"/>
      <c r="N164" s="3"/>
      <c r="O164" s="3"/>
      <c r="P164" s="3"/>
      <c r="Q164" s="21"/>
      <c r="R164" s="5"/>
      <c r="S164" s="5"/>
      <c r="T164" s="5"/>
      <c r="U164" s="2"/>
      <c r="V164" s="1"/>
    </row>
    <row r="165" spans="1:22" ht="20.100000000000001" customHeight="1" x14ac:dyDescent="0.25">
      <c r="A165" s="2"/>
      <c r="B165" s="2"/>
      <c r="C165" s="2"/>
      <c r="D165" s="2"/>
      <c r="E165" s="2"/>
      <c r="F165" s="2"/>
      <c r="G165" s="2"/>
      <c r="H165" s="2"/>
      <c r="I165" s="2"/>
      <c r="J165" s="2"/>
      <c r="K165" s="2"/>
      <c r="L165" s="2"/>
      <c r="M165" s="2"/>
      <c r="N165" s="3"/>
      <c r="O165" s="3"/>
      <c r="P165" s="3"/>
      <c r="Q165" s="21"/>
      <c r="R165" s="5"/>
      <c r="S165" s="5"/>
      <c r="T165" s="5"/>
      <c r="U165" s="2"/>
      <c r="V165" s="1"/>
    </row>
    <row r="166" spans="1:22" ht="20.100000000000001" customHeight="1" x14ac:dyDescent="0.25">
      <c r="A166" s="2"/>
      <c r="B166" s="2"/>
      <c r="C166" s="2"/>
      <c r="D166" s="2"/>
      <c r="E166" s="2"/>
      <c r="F166" s="2"/>
      <c r="G166" s="2"/>
      <c r="H166" s="2"/>
      <c r="I166" s="2"/>
      <c r="J166" s="2"/>
      <c r="K166" s="2"/>
      <c r="L166" s="2"/>
      <c r="M166" s="2"/>
      <c r="N166" s="3"/>
      <c r="O166" s="3"/>
      <c r="P166" s="3"/>
      <c r="Q166" s="21"/>
      <c r="R166" s="5"/>
      <c r="S166" s="5"/>
      <c r="T166" s="5"/>
      <c r="U166" s="2"/>
      <c r="V166" s="1"/>
    </row>
    <row r="167" spans="1:22" ht="20.100000000000001" customHeight="1" x14ac:dyDescent="0.25">
      <c r="A167" s="2"/>
      <c r="B167" s="2"/>
      <c r="C167" s="2"/>
      <c r="D167" s="2"/>
      <c r="E167" s="2"/>
      <c r="F167" s="2"/>
      <c r="G167" s="2"/>
      <c r="H167" s="2"/>
      <c r="I167" s="2"/>
      <c r="J167" s="2"/>
      <c r="K167" s="2"/>
      <c r="L167" s="2"/>
      <c r="M167" s="2"/>
      <c r="N167" s="3"/>
      <c r="O167" s="3"/>
      <c r="P167" s="3"/>
      <c r="Q167" s="21"/>
      <c r="R167" s="5"/>
      <c r="S167" s="5"/>
      <c r="T167" s="5"/>
      <c r="U167" s="2"/>
      <c r="V167" s="1"/>
    </row>
    <row r="168" spans="1:22" ht="20.100000000000001" customHeight="1" x14ac:dyDescent="0.25">
      <c r="A168" s="2"/>
      <c r="B168" s="2"/>
      <c r="C168" s="2"/>
      <c r="D168" s="2"/>
      <c r="E168" s="2"/>
      <c r="F168" s="2"/>
      <c r="G168" s="2"/>
      <c r="H168" s="2"/>
      <c r="I168" s="2"/>
      <c r="J168" s="2"/>
      <c r="K168" s="2"/>
      <c r="L168" s="2"/>
      <c r="M168" s="2"/>
      <c r="N168" s="3"/>
      <c r="O168" s="3"/>
      <c r="P168" s="3"/>
      <c r="Q168" s="21"/>
      <c r="R168" s="5"/>
      <c r="S168" s="5"/>
      <c r="T168" s="5"/>
      <c r="U168" s="2"/>
      <c r="V168" s="1"/>
    </row>
    <row r="169" spans="1:22" ht="20.100000000000001" customHeight="1" x14ac:dyDescent="0.25">
      <c r="A169" s="2"/>
      <c r="B169" s="2"/>
      <c r="C169" s="2"/>
      <c r="D169" s="2"/>
      <c r="E169" s="2"/>
      <c r="F169" s="2"/>
      <c r="G169" s="2"/>
      <c r="H169" s="2"/>
      <c r="I169" s="2"/>
      <c r="J169" s="2"/>
      <c r="K169" s="2"/>
      <c r="L169" s="2"/>
      <c r="M169" s="2"/>
      <c r="N169" s="3"/>
      <c r="O169" s="3"/>
      <c r="P169" s="3"/>
      <c r="Q169" s="21"/>
      <c r="R169" s="5"/>
      <c r="S169" s="5"/>
      <c r="T169" s="5"/>
      <c r="U169" s="2"/>
      <c r="V169" s="1"/>
    </row>
    <row r="170" spans="1:22" ht="20.100000000000001" customHeight="1" x14ac:dyDescent="0.25">
      <c r="A170" s="2"/>
      <c r="B170" s="2"/>
      <c r="C170" s="2"/>
      <c r="D170" s="2"/>
      <c r="E170" s="2"/>
      <c r="F170" s="2"/>
      <c r="G170" s="2"/>
      <c r="H170" s="2"/>
      <c r="I170" s="2"/>
      <c r="J170" s="2"/>
      <c r="K170" s="2"/>
      <c r="L170" s="2"/>
      <c r="M170" s="2"/>
      <c r="N170" s="3"/>
      <c r="O170" s="3"/>
      <c r="P170" s="3"/>
      <c r="Q170" s="21"/>
      <c r="R170" s="5"/>
      <c r="S170" s="5"/>
      <c r="T170" s="5"/>
      <c r="U170" s="2"/>
      <c r="V170" s="1"/>
    </row>
    <row r="171" spans="1:22" ht="20.100000000000001" customHeight="1" x14ac:dyDescent="0.25">
      <c r="A171" s="2"/>
      <c r="B171" s="2"/>
      <c r="C171" s="2"/>
      <c r="D171" s="2"/>
      <c r="E171" s="2"/>
      <c r="F171" s="2"/>
      <c r="G171" s="2"/>
      <c r="H171" s="2"/>
      <c r="I171" s="2"/>
      <c r="J171" s="2"/>
      <c r="K171" s="2"/>
      <c r="L171" s="2"/>
      <c r="M171" s="2"/>
      <c r="N171" s="3"/>
      <c r="O171" s="3"/>
      <c r="P171" s="3"/>
      <c r="Q171" s="21"/>
      <c r="R171" s="5"/>
      <c r="S171" s="5"/>
      <c r="T171" s="5"/>
      <c r="U171" s="2"/>
      <c r="V171" s="1"/>
    </row>
    <row r="172" spans="1:22" ht="20.100000000000001" customHeight="1" x14ac:dyDescent="0.25">
      <c r="A172" s="2"/>
      <c r="B172" s="2"/>
      <c r="C172" s="2"/>
      <c r="D172" s="2"/>
      <c r="E172" s="2"/>
      <c r="F172" s="2"/>
      <c r="G172" s="2"/>
      <c r="H172" s="2"/>
      <c r="I172" s="2"/>
      <c r="J172" s="2"/>
      <c r="K172" s="2"/>
      <c r="L172" s="2"/>
      <c r="M172" s="2"/>
      <c r="N172" s="3"/>
      <c r="O172" s="3"/>
      <c r="P172" s="3"/>
      <c r="Q172" s="21"/>
      <c r="R172" s="5"/>
      <c r="S172" s="5"/>
      <c r="T172" s="5"/>
      <c r="U172" s="2"/>
      <c r="V172" s="1"/>
    </row>
    <row r="173" spans="1:22" ht="20.100000000000001" customHeight="1" x14ac:dyDescent="0.25">
      <c r="A173" s="2"/>
      <c r="B173" s="2"/>
      <c r="C173" s="2"/>
      <c r="D173" s="2"/>
      <c r="E173" s="2"/>
      <c r="F173" s="2"/>
      <c r="G173" s="2"/>
      <c r="H173" s="2"/>
      <c r="I173" s="2"/>
      <c r="J173" s="2"/>
      <c r="K173" s="2"/>
      <c r="L173" s="2"/>
      <c r="M173" s="2"/>
      <c r="N173" s="3"/>
      <c r="O173" s="3"/>
      <c r="P173" s="3"/>
      <c r="Q173" s="21"/>
      <c r="R173" s="5"/>
      <c r="S173" s="5"/>
      <c r="T173" s="5"/>
      <c r="U173" s="2"/>
      <c r="V173" s="1"/>
    </row>
    <row r="174" spans="1:22" ht="20.100000000000001" customHeight="1" x14ac:dyDescent="0.25">
      <c r="A174" s="2"/>
      <c r="B174" s="2"/>
      <c r="C174" s="2"/>
      <c r="D174" s="2"/>
      <c r="E174" s="2"/>
      <c r="F174" s="2"/>
      <c r="G174" s="2"/>
      <c r="H174" s="2"/>
      <c r="I174" s="2"/>
      <c r="J174" s="2"/>
      <c r="K174" s="2"/>
      <c r="L174" s="2"/>
      <c r="M174" s="2"/>
      <c r="N174" s="3"/>
      <c r="O174" s="3"/>
      <c r="P174" s="3"/>
      <c r="Q174" s="21"/>
      <c r="R174" s="5"/>
      <c r="S174" s="5"/>
      <c r="T174" s="5"/>
      <c r="U174" s="2"/>
      <c r="V174" s="1"/>
    </row>
    <row r="175" spans="1:22" ht="20.100000000000001" customHeight="1" x14ac:dyDescent="0.25">
      <c r="A175" s="2"/>
      <c r="B175" s="2"/>
      <c r="C175" s="2"/>
      <c r="D175" s="2"/>
      <c r="E175" s="2"/>
      <c r="F175" s="2"/>
      <c r="G175" s="2"/>
      <c r="H175" s="2"/>
      <c r="I175" s="2"/>
      <c r="J175" s="2"/>
      <c r="K175" s="2"/>
      <c r="L175" s="2"/>
      <c r="M175" s="2"/>
      <c r="N175" s="3"/>
      <c r="O175" s="3"/>
      <c r="P175" s="3"/>
      <c r="Q175" s="21"/>
      <c r="R175" s="5"/>
      <c r="S175" s="5"/>
      <c r="T175" s="5"/>
      <c r="U175" s="2"/>
      <c r="V175" s="1"/>
    </row>
    <row r="176" spans="1:22" ht="20.100000000000001" customHeight="1" x14ac:dyDescent="0.25">
      <c r="A176" s="2"/>
      <c r="B176" s="2"/>
      <c r="C176" s="2"/>
      <c r="D176" s="2"/>
      <c r="E176" s="2"/>
      <c r="F176" s="2"/>
      <c r="G176" s="2"/>
      <c r="H176" s="2"/>
      <c r="I176" s="2"/>
      <c r="J176" s="2"/>
      <c r="K176" s="2"/>
      <c r="L176" s="2"/>
      <c r="M176" s="2"/>
      <c r="N176" s="3"/>
      <c r="O176" s="3"/>
      <c r="P176" s="3"/>
      <c r="Q176" s="21"/>
      <c r="R176" s="5"/>
      <c r="S176" s="5"/>
      <c r="T176" s="5"/>
      <c r="U176" s="2"/>
      <c r="V176" s="1"/>
    </row>
    <row r="177" spans="1:22" ht="20.100000000000001" customHeight="1" x14ac:dyDescent="0.25">
      <c r="A177" s="2"/>
      <c r="B177" s="2"/>
      <c r="C177" s="2"/>
      <c r="D177" s="2"/>
      <c r="E177" s="2"/>
      <c r="F177" s="2"/>
      <c r="G177" s="2"/>
      <c r="H177" s="2"/>
      <c r="I177" s="2"/>
      <c r="J177" s="2"/>
      <c r="K177" s="2"/>
      <c r="L177" s="2"/>
      <c r="M177" s="2"/>
      <c r="N177" s="3"/>
      <c r="O177" s="3"/>
      <c r="P177" s="3"/>
      <c r="Q177" s="21"/>
      <c r="R177" s="5"/>
      <c r="S177" s="5"/>
      <c r="T177" s="5"/>
      <c r="U177" s="2"/>
      <c r="V177" s="1"/>
    </row>
    <row r="178" spans="1:22" ht="20.100000000000001" customHeight="1" x14ac:dyDescent="0.25">
      <c r="A178" s="2"/>
      <c r="B178" s="2"/>
      <c r="C178" s="2"/>
      <c r="D178" s="2"/>
      <c r="E178" s="2"/>
      <c r="F178" s="2"/>
      <c r="G178" s="2"/>
      <c r="H178" s="2"/>
      <c r="I178" s="2"/>
      <c r="J178" s="2"/>
      <c r="K178" s="2"/>
      <c r="L178" s="2"/>
      <c r="M178" s="2"/>
      <c r="N178" s="3"/>
      <c r="O178" s="3"/>
      <c r="P178" s="3"/>
      <c r="Q178" s="21"/>
      <c r="R178" s="5"/>
      <c r="S178" s="5"/>
      <c r="T178" s="5"/>
      <c r="U178" s="2"/>
      <c r="V178" s="1"/>
    </row>
    <row r="179" spans="1:22" ht="20.100000000000001" customHeight="1" x14ac:dyDescent="0.25">
      <c r="A179" s="2"/>
      <c r="B179" s="2"/>
      <c r="C179" s="2"/>
      <c r="D179" s="2"/>
      <c r="E179" s="2"/>
      <c r="F179" s="2"/>
      <c r="G179" s="2"/>
      <c r="H179" s="2"/>
      <c r="I179" s="2"/>
      <c r="J179" s="2"/>
      <c r="K179" s="2"/>
      <c r="L179" s="2"/>
      <c r="M179" s="2"/>
      <c r="N179" s="3"/>
      <c r="O179" s="3"/>
      <c r="P179" s="3"/>
      <c r="Q179" s="21"/>
      <c r="R179" s="5"/>
      <c r="S179" s="5"/>
      <c r="T179" s="5"/>
      <c r="U179" s="2"/>
      <c r="V179" s="1"/>
    </row>
    <row r="180" spans="1:22" ht="20.100000000000001" customHeight="1" x14ac:dyDescent="0.25">
      <c r="A180" s="2"/>
      <c r="B180" s="2"/>
      <c r="C180" s="2"/>
      <c r="D180" s="2"/>
      <c r="E180" s="2"/>
      <c r="F180" s="2"/>
      <c r="G180" s="2"/>
      <c r="H180" s="2"/>
      <c r="I180" s="2"/>
      <c r="J180" s="2"/>
      <c r="K180" s="2"/>
      <c r="L180" s="2"/>
      <c r="M180" s="2"/>
      <c r="N180" s="3"/>
      <c r="O180" s="3"/>
      <c r="P180" s="3"/>
      <c r="Q180" s="21"/>
      <c r="R180" s="5"/>
      <c r="S180" s="5"/>
      <c r="T180" s="5"/>
      <c r="U180" s="2"/>
      <c r="V180" s="1"/>
    </row>
    <row r="181" spans="1:22" ht="20.100000000000001" customHeight="1" x14ac:dyDescent="0.25">
      <c r="A181" s="2"/>
      <c r="B181" s="2"/>
      <c r="C181" s="2"/>
      <c r="D181" s="2"/>
      <c r="E181" s="2"/>
      <c r="F181" s="2"/>
      <c r="G181" s="2"/>
      <c r="H181" s="2"/>
      <c r="I181" s="2"/>
      <c r="J181" s="2"/>
      <c r="K181" s="2"/>
      <c r="L181" s="2"/>
      <c r="M181" s="2"/>
      <c r="N181" s="3"/>
      <c r="O181" s="3"/>
      <c r="P181" s="3"/>
      <c r="Q181" s="21"/>
      <c r="R181" s="5"/>
      <c r="S181" s="5"/>
      <c r="T181" s="5"/>
      <c r="U181" s="2"/>
      <c r="V181" s="1"/>
    </row>
    <row r="182" spans="1:22" ht="20.100000000000001" customHeight="1" x14ac:dyDescent="0.25">
      <c r="A182" s="2"/>
      <c r="B182" s="2"/>
      <c r="C182" s="2"/>
      <c r="D182" s="2"/>
      <c r="E182" s="2"/>
      <c r="F182" s="2"/>
      <c r="G182" s="2"/>
      <c r="H182" s="2"/>
      <c r="I182" s="2"/>
      <c r="J182" s="2"/>
      <c r="K182" s="2"/>
      <c r="L182" s="2"/>
      <c r="M182" s="2"/>
      <c r="N182" s="3"/>
      <c r="O182" s="3"/>
      <c r="P182" s="3"/>
      <c r="Q182" s="21"/>
      <c r="R182" s="5"/>
      <c r="S182" s="5"/>
      <c r="T182" s="5"/>
      <c r="U182" s="2"/>
      <c r="V182" s="1"/>
    </row>
    <row r="183" spans="1:22" ht="20.100000000000001" customHeight="1" x14ac:dyDescent="0.25">
      <c r="A183" s="2"/>
      <c r="B183" s="2"/>
      <c r="C183" s="2"/>
      <c r="D183" s="2"/>
      <c r="E183" s="2"/>
      <c r="F183" s="2"/>
      <c r="G183" s="2"/>
      <c r="H183" s="2"/>
      <c r="I183" s="2"/>
      <c r="J183" s="2"/>
      <c r="K183" s="2"/>
      <c r="L183" s="2"/>
      <c r="M183" s="2"/>
      <c r="N183" s="3"/>
      <c r="O183" s="3"/>
      <c r="P183" s="3"/>
      <c r="Q183" s="21"/>
      <c r="R183" s="5"/>
      <c r="S183" s="5"/>
      <c r="T183" s="5"/>
      <c r="U183" s="2"/>
      <c r="V183" s="1"/>
    </row>
    <row r="184" spans="1:22" ht="20.100000000000001" customHeight="1" x14ac:dyDescent="0.25">
      <c r="A184" s="2"/>
      <c r="B184" s="2"/>
      <c r="C184" s="2"/>
      <c r="D184" s="2"/>
      <c r="E184" s="2"/>
      <c r="F184" s="2"/>
      <c r="G184" s="2"/>
      <c r="H184" s="2"/>
      <c r="I184" s="2"/>
      <c r="J184" s="2"/>
      <c r="K184" s="2"/>
      <c r="L184" s="2"/>
      <c r="M184" s="2"/>
      <c r="N184" s="3"/>
      <c r="O184" s="3"/>
      <c r="P184" s="3"/>
      <c r="Q184" s="21"/>
      <c r="R184" s="5"/>
      <c r="S184" s="5"/>
      <c r="T184" s="5"/>
      <c r="U184" s="2"/>
      <c r="V184" s="1"/>
    </row>
    <row r="185" spans="1:22" ht="20.100000000000001" customHeight="1" x14ac:dyDescent="0.25">
      <c r="A185" s="2"/>
      <c r="B185" s="2"/>
      <c r="C185" s="2"/>
      <c r="D185" s="2"/>
      <c r="E185" s="2"/>
      <c r="F185" s="2"/>
      <c r="G185" s="2"/>
      <c r="H185" s="2"/>
      <c r="I185" s="2"/>
      <c r="J185" s="2"/>
      <c r="K185" s="2"/>
      <c r="L185" s="2"/>
      <c r="M185" s="2"/>
      <c r="N185" s="3"/>
      <c r="O185" s="3"/>
      <c r="P185" s="3"/>
      <c r="Q185" s="21"/>
      <c r="R185" s="5"/>
      <c r="S185" s="5"/>
      <c r="T185" s="5"/>
      <c r="U185" s="2"/>
      <c r="V185" s="1"/>
    </row>
    <row r="186" spans="1:22" ht="20.100000000000001" customHeight="1" x14ac:dyDescent="0.25">
      <c r="A186" s="2"/>
      <c r="B186" s="2"/>
      <c r="C186" s="2"/>
      <c r="D186" s="2"/>
      <c r="E186" s="2"/>
      <c r="F186" s="2"/>
      <c r="G186" s="2"/>
      <c r="H186" s="2"/>
      <c r="I186" s="2"/>
      <c r="J186" s="2"/>
      <c r="K186" s="2"/>
      <c r="L186" s="2"/>
      <c r="M186" s="2"/>
      <c r="N186" s="3"/>
      <c r="O186" s="3"/>
      <c r="P186" s="3"/>
      <c r="Q186" s="21"/>
      <c r="R186" s="5"/>
      <c r="S186" s="5"/>
      <c r="T186" s="5"/>
      <c r="U186" s="2"/>
      <c r="V186" s="1"/>
    </row>
    <row r="187" spans="1:22" ht="20.100000000000001" customHeight="1" x14ac:dyDescent="0.25">
      <c r="A187" s="2"/>
      <c r="B187" s="2"/>
      <c r="C187" s="2"/>
      <c r="D187" s="2"/>
      <c r="E187" s="2"/>
      <c r="F187" s="2"/>
      <c r="G187" s="2"/>
      <c r="H187" s="2"/>
      <c r="I187" s="2"/>
      <c r="J187" s="2"/>
      <c r="K187" s="2"/>
      <c r="L187" s="2"/>
      <c r="M187" s="2"/>
      <c r="N187" s="3"/>
      <c r="O187" s="3"/>
      <c r="P187" s="3"/>
      <c r="Q187" s="21"/>
      <c r="R187" s="5"/>
      <c r="S187" s="5"/>
      <c r="T187" s="5"/>
      <c r="U187" s="2"/>
      <c r="V187" s="1"/>
    </row>
    <row r="188" spans="1:22" ht="20.100000000000001" customHeight="1" x14ac:dyDescent="0.25">
      <c r="A188" s="2"/>
      <c r="B188" s="2"/>
      <c r="C188" s="2"/>
      <c r="D188" s="2"/>
      <c r="E188" s="2"/>
      <c r="F188" s="2"/>
      <c r="G188" s="2"/>
      <c r="H188" s="2"/>
      <c r="I188" s="2"/>
      <c r="J188" s="2"/>
      <c r="K188" s="2"/>
      <c r="L188" s="2"/>
      <c r="M188" s="2"/>
      <c r="N188" s="3"/>
      <c r="O188" s="3"/>
      <c r="P188" s="3"/>
      <c r="Q188" s="21"/>
      <c r="R188" s="5"/>
      <c r="S188" s="5"/>
      <c r="T188" s="5"/>
      <c r="U188" s="2"/>
      <c r="V188" s="1"/>
    </row>
    <row r="189" spans="1:22" ht="20.100000000000001" customHeight="1" x14ac:dyDescent="0.25">
      <c r="A189" s="2"/>
      <c r="B189" s="2"/>
      <c r="C189" s="2"/>
      <c r="D189" s="2"/>
      <c r="E189" s="2"/>
      <c r="F189" s="2"/>
      <c r="G189" s="2"/>
      <c r="H189" s="2"/>
      <c r="I189" s="2"/>
      <c r="J189" s="2"/>
      <c r="K189" s="2"/>
      <c r="L189" s="2"/>
      <c r="M189" s="2"/>
      <c r="N189" s="3"/>
      <c r="O189" s="3"/>
      <c r="P189" s="3"/>
      <c r="Q189" s="21"/>
      <c r="R189" s="5"/>
      <c r="S189" s="5"/>
      <c r="T189" s="5"/>
      <c r="U189" s="2"/>
      <c r="V189" s="1"/>
    </row>
    <row r="190" spans="1:22" ht="20.100000000000001" customHeight="1" x14ac:dyDescent="0.25">
      <c r="A190" s="2"/>
      <c r="B190" s="2"/>
      <c r="C190" s="2"/>
      <c r="D190" s="2"/>
      <c r="E190" s="2"/>
      <c r="F190" s="2"/>
      <c r="G190" s="2"/>
      <c r="H190" s="2"/>
      <c r="I190" s="2"/>
      <c r="J190" s="2"/>
      <c r="K190" s="2"/>
      <c r="L190" s="2"/>
      <c r="M190" s="2"/>
      <c r="N190" s="3"/>
      <c r="O190" s="3"/>
      <c r="P190" s="3"/>
      <c r="Q190" s="21"/>
      <c r="R190" s="5"/>
      <c r="S190" s="5"/>
      <c r="T190" s="5"/>
      <c r="U190" s="2"/>
      <c r="V190" s="1"/>
    </row>
    <row r="191" spans="1:22" ht="20.100000000000001" customHeight="1" x14ac:dyDescent="0.25">
      <c r="A191" s="2"/>
      <c r="B191" s="2"/>
      <c r="C191" s="2"/>
      <c r="D191" s="2"/>
      <c r="E191" s="2"/>
      <c r="F191" s="2"/>
      <c r="G191" s="2"/>
      <c r="H191" s="2"/>
      <c r="I191" s="2"/>
      <c r="J191" s="2"/>
      <c r="K191" s="2"/>
      <c r="L191" s="2"/>
      <c r="M191" s="2"/>
      <c r="N191" s="3"/>
      <c r="O191" s="3"/>
      <c r="P191" s="3"/>
      <c r="Q191" s="21"/>
      <c r="R191" s="5"/>
      <c r="S191" s="5"/>
      <c r="T191" s="5"/>
      <c r="U191" s="2"/>
      <c r="V191" s="1"/>
    </row>
    <row r="192" spans="1:22" ht="20.100000000000001" customHeight="1" x14ac:dyDescent="0.25">
      <c r="A192" s="2"/>
      <c r="B192" s="2"/>
      <c r="C192" s="2"/>
      <c r="D192" s="2"/>
      <c r="E192" s="2"/>
      <c r="F192" s="2"/>
      <c r="G192" s="2"/>
      <c r="H192" s="2"/>
      <c r="I192" s="2"/>
      <c r="J192" s="2"/>
      <c r="K192" s="2"/>
      <c r="L192" s="2"/>
      <c r="M192" s="2"/>
      <c r="N192" s="3"/>
      <c r="O192" s="3"/>
      <c r="P192" s="3"/>
      <c r="Q192" s="21"/>
      <c r="R192" s="5"/>
      <c r="S192" s="5"/>
      <c r="T192" s="5"/>
      <c r="U192" s="2"/>
      <c r="V192" s="1"/>
    </row>
    <row r="193" spans="1:22" ht="20.100000000000001" customHeight="1" x14ac:dyDescent="0.25">
      <c r="A193" s="2"/>
      <c r="B193" s="2"/>
      <c r="C193" s="2"/>
      <c r="D193" s="2"/>
      <c r="E193" s="2"/>
      <c r="F193" s="2"/>
      <c r="G193" s="2"/>
      <c r="H193" s="2"/>
      <c r="I193" s="2"/>
      <c r="J193" s="2"/>
      <c r="K193" s="2"/>
      <c r="L193" s="2"/>
      <c r="M193" s="2"/>
      <c r="N193" s="3"/>
      <c r="O193" s="3"/>
      <c r="P193" s="3"/>
      <c r="Q193" s="21"/>
      <c r="R193" s="5"/>
      <c r="S193" s="5"/>
      <c r="T193" s="5"/>
      <c r="U193" s="2"/>
      <c r="V193" s="1"/>
    </row>
    <row r="194" spans="1:22" ht="20.100000000000001" customHeight="1" x14ac:dyDescent="0.25">
      <c r="A194" s="2"/>
      <c r="B194" s="2"/>
      <c r="C194" s="2"/>
      <c r="D194" s="2"/>
      <c r="E194" s="2"/>
      <c r="F194" s="2"/>
      <c r="G194" s="2"/>
      <c r="H194" s="2"/>
      <c r="I194" s="2"/>
      <c r="J194" s="2"/>
      <c r="K194" s="2"/>
      <c r="L194" s="2"/>
      <c r="M194" s="2"/>
      <c r="N194" s="3"/>
      <c r="O194" s="3"/>
      <c r="P194" s="3"/>
      <c r="Q194" s="21"/>
      <c r="R194" s="5"/>
      <c r="S194" s="5"/>
      <c r="T194" s="5"/>
      <c r="U194" s="2"/>
      <c r="V194" s="1"/>
    </row>
    <row r="195" spans="1:22" ht="20.100000000000001" customHeight="1" x14ac:dyDescent="0.25">
      <c r="A195" s="2"/>
      <c r="B195" s="2"/>
      <c r="C195" s="2"/>
      <c r="D195" s="2"/>
      <c r="E195" s="2"/>
      <c r="F195" s="2"/>
      <c r="G195" s="2"/>
      <c r="H195" s="2"/>
      <c r="I195" s="2"/>
      <c r="J195" s="2"/>
      <c r="K195" s="2"/>
      <c r="L195" s="2"/>
      <c r="M195" s="2"/>
      <c r="N195" s="3"/>
      <c r="O195" s="3"/>
      <c r="P195" s="3"/>
      <c r="Q195" s="21"/>
      <c r="R195" s="5"/>
      <c r="S195" s="5"/>
      <c r="T195" s="5"/>
      <c r="U195" s="2"/>
      <c r="V195" s="1"/>
    </row>
    <row r="196" spans="1:22" ht="20.100000000000001" customHeight="1" x14ac:dyDescent="0.25">
      <c r="A196" s="2"/>
      <c r="B196" s="2"/>
      <c r="C196" s="2"/>
      <c r="D196" s="2"/>
      <c r="E196" s="2"/>
      <c r="F196" s="2"/>
      <c r="G196" s="2"/>
      <c r="H196" s="2"/>
      <c r="I196" s="2"/>
      <c r="J196" s="2"/>
      <c r="K196" s="2"/>
      <c r="L196" s="2"/>
      <c r="M196" s="2"/>
      <c r="N196" s="3"/>
      <c r="O196" s="3"/>
      <c r="P196" s="3"/>
      <c r="Q196" s="21"/>
      <c r="R196" s="5"/>
      <c r="S196" s="5"/>
      <c r="T196" s="5"/>
      <c r="U196" s="2"/>
      <c r="V196" s="1"/>
    </row>
    <row r="197" spans="1:22" ht="20.100000000000001" customHeight="1" x14ac:dyDescent="0.25">
      <c r="A197" s="2"/>
      <c r="B197" s="2"/>
      <c r="C197" s="2"/>
      <c r="D197" s="2"/>
      <c r="E197" s="2"/>
      <c r="F197" s="2"/>
      <c r="G197" s="2"/>
      <c r="H197" s="2"/>
      <c r="I197" s="2"/>
      <c r="J197" s="2"/>
      <c r="K197" s="2"/>
      <c r="L197" s="2"/>
      <c r="M197" s="2"/>
      <c r="N197" s="3"/>
      <c r="O197" s="3"/>
      <c r="P197" s="3"/>
      <c r="Q197" s="21"/>
      <c r="R197" s="5"/>
      <c r="S197" s="5"/>
      <c r="T197" s="5"/>
      <c r="U197" s="2"/>
      <c r="V197" s="1"/>
    </row>
    <row r="198" spans="1:22" ht="20.100000000000001" customHeight="1" x14ac:dyDescent="0.25">
      <c r="A198" s="2"/>
      <c r="B198" s="2"/>
      <c r="C198" s="2"/>
      <c r="D198" s="2"/>
      <c r="E198" s="2"/>
      <c r="F198" s="2"/>
      <c r="G198" s="2"/>
      <c r="H198" s="2"/>
      <c r="I198" s="2"/>
      <c r="J198" s="2"/>
      <c r="K198" s="2"/>
      <c r="L198" s="2"/>
      <c r="M198" s="2"/>
      <c r="N198" s="3"/>
      <c r="O198" s="3"/>
      <c r="P198" s="3"/>
      <c r="Q198" s="21"/>
      <c r="R198" s="5"/>
      <c r="S198" s="5"/>
      <c r="T198" s="5"/>
      <c r="U198" s="2"/>
      <c r="V198" s="1"/>
    </row>
    <row r="199" spans="1:22" ht="20.100000000000001" customHeight="1" x14ac:dyDescent="0.25">
      <c r="A199" s="2"/>
      <c r="B199" s="2"/>
      <c r="C199" s="2"/>
      <c r="D199" s="2"/>
      <c r="E199" s="2"/>
      <c r="F199" s="2"/>
      <c r="G199" s="2"/>
      <c r="H199" s="2"/>
      <c r="I199" s="2"/>
      <c r="J199" s="2"/>
      <c r="K199" s="2"/>
      <c r="L199" s="2"/>
      <c r="M199" s="2"/>
      <c r="N199" s="3"/>
      <c r="O199" s="3"/>
      <c r="P199" s="3"/>
      <c r="Q199" s="21"/>
      <c r="R199" s="5"/>
      <c r="S199" s="5"/>
      <c r="T199" s="5"/>
      <c r="U199" s="2"/>
      <c r="V199" s="1"/>
    </row>
    <row r="200" spans="1:22" ht="20.100000000000001" customHeight="1" x14ac:dyDescent="0.25">
      <c r="A200" s="2"/>
      <c r="B200" s="2"/>
      <c r="C200" s="2"/>
      <c r="D200" s="2"/>
      <c r="E200" s="2"/>
      <c r="F200" s="2"/>
      <c r="G200" s="2"/>
      <c r="H200" s="2"/>
      <c r="I200" s="2"/>
      <c r="J200" s="2"/>
      <c r="K200" s="2"/>
      <c r="L200" s="2"/>
      <c r="M200" s="2"/>
      <c r="N200" s="3"/>
      <c r="O200" s="3"/>
      <c r="P200" s="3"/>
      <c r="Q200" s="21"/>
      <c r="R200" s="5"/>
      <c r="S200" s="5"/>
      <c r="T200" s="5"/>
      <c r="U200" s="2"/>
      <c r="V200" s="1"/>
    </row>
    <row r="201" spans="1:22" ht="20.100000000000001" customHeight="1" x14ac:dyDescent="0.25">
      <c r="A201" s="2"/>
      <c r="B201" s="2"/>
      <c r="C201" s="2"/>
      <c r="D201" s="2"/>
      <c r="E201" s="2"/>
      <c r="F201" s="2"/>
      <c r="G201" s="2"/>
      <c r="H201" s="2"/>
      <c r="I201" s="2"/>
      <c r="J201" s="2"/>
      <c r="K201" s="2"/>
      <c r="L201" s="2"/>
      <c r="M201" s="2"/>
      <c r="N201" s="3"/>
      <c r="O201" s="3"/>
      <c r="P201" s="3"/>
      <c r="Q201" s="21"/>
      <c r="R201" s="5"/>
      <c r="S201" s="5"/>
      <c r="T201" s="5"/>
      <c r="U201" s="2"/>
      <c r="V201" s="1"/>
    </row>
    <row r="202" spans="1:22" ht="20.100000000000001" customHeight="1" x14ac:dyDescent="0.25">
      <c r="A202" s="2"/>
      <c r="B202" s="2"/>
      <c r="C202" s="2"/>
      <c r="D202" s="2"/>
      <c r="E202" s="2"/>
      <c r="F202" s="2"/>
      <c r="G202" s="2"/>
      <c r="H202" s="2"/>
      <c r="I202" s="2"/>
      <c r="J202" s="2"/>
      <c r="K202" s="2"/>
      <c r="L202" s="2"/>
      <c r="M202" s="2"/>
      <c r="N202" s="3"/>
      <c r="O202" s="3"/>
      <c r="P202" s="3"/>
      <c r="Q202" s="21"/>
      <c r="R202" s="5"/>
      <c r="S202" s="5"/>
      <c r="T202" s="5"/>
      <c r="U202" s="2"/>
      <c r="V202" s="1"/>
    </row>
    <row r="203" spans="1:22" ht="20.100000000000001" customHeight="1" x14ac:dyDescent="0.25">
      <c r="A203" s="2"/>
      <c r="B203" s="2"/>
      <c r="C203" s="2"/>
      <c r="D203" s="2"/>
      <c r="E203" s="2"/>
      <c r="F203" s="2"/>
      <c r="G203" s="2"/>
      <c r="H203" s="2"/>
      <c r="I203" s="2"/>
      <c r="J203" s="2"/>
      <c r="K203" s="2"/>
      <c r="L203" s="2"/>
      <c r="M203" s="2"/>
      <c r="N203" s="3"/>
      <c r="O203" s="3"/>
      <c r="P203" s="3"/>
      <c r="Q203" s="21"/>
      <c r="R203" s="5"/>
      <c r="S203" s="5"/>
      <c r="T203" s="5"/>
      <c r="U203" s="2"/>
      <c r="V203" s="1"/>
    </row>
    <row r="204" spans="1:22" ht="20.100000000000001" customHeight="1" x14ac:dyDescent="0.25">
      <c r="A204" s="2"/>
      <c r="B204" s="2"/>
      <c r="C204" s="2"/>
      <c r="D204" s="2"/>
      <c r="E204" s="2"/>
      <c r="F204" s="2"/>
      <c r="G204" s="2"/>
      <c r="H204" s="2"/>
      <c r="I204" s="2"/>
      <c r="J204" s="2"/>
      <c r="K204" s="2"/>
      <c r="L204" s="2"/>
      <c r="M204" s="2"/>
      <c r="N204" s="3"/>
      <c r="O204" s="3"/>
      <c r="P204" s="3"/>
      <c r="Q204" s="21"/>
      <c r="R204" s="5"/>
      <c r="S204" s="5"/>
      <c r="T204" s="5"/>
      <c r="U204" s="2"/>
      <c r="V204" s="1"/>
    </row>
    <row r="205" spans="1:22" ht="20.100000000000001" customHeight="1" x14ac:dyDescent="0.25">
      <c r="A205" s="2"/>
      <c r="B205" s="2"/>
      <c r="C205" s="2"/>
      <c r="D205" s="2"/>
      <c r="E205" s="2"/>
      <c r="F205" s="2"/>
      <c r="G205" s="2"/>
      <c r="H205" s="2"/>
      <c r="I205" s="2"/>
      <c r="J205" s="2"/>
      <c r="K205" s="2"/>
      <c r="L205" s="2"/>
      <c r="M205" s="2"/>
      <c r="N205" s="3"/>
      <c r="O205" s="3"/>
      <c r="P205" s="3"/>
      <c r="Q205" s="21"/>
      <c r="R205" s="5"/>
      <c r="S205" s="5"/>
      <c r="T205" s="5"/>
      <c r="U205" s="2"/>
      <c r="V205" s="1"/>
    </row>
    <row r="206" spans="1:22" ht="20.100000000000001" customHeight="1" x14ac:dyDescent="0.25">
      <c r="A206" s="2"/>
      <c r="B206" s="2"/>
      <c r="C206" s="2"/>
      <c r="D206" s="2"/>
      <c r="E206" s="2"/>
      <c r="F206" s="2"/>
      <c r="G206" s="2"/>
      <c r="H206" s="2"/>
      <c r="I206" s="2"/>
      <c r="J206" s="2"/>
      <c r="K206" s="2"/>
      <c r="L206" s="2"/>
      <c r="M206" s="2"/>
      <c r="N206" s="3"/>
      <c r="O206" s="3"/>
      <c r="P206" s="3"/>
      <c r="Q206" s="21"/>
      <c r="R206" s="5"/>
      <c r="S206" s="5"/>
      <c r="T206" s="5"/>
      <c r="U206" s="2"/>
      <c r="V206" s="1"/>
    </row>
    <row r="207" spans="1:22" ht="20.100000000000001" customHeight="1" x14ac:dyDescent="0.25">
      <c r="A207" s="2"/>
      <c r="B207" s="2"/>
      <c r="C207" s="2"/>
      <c r="D207" s="2"/>
      <c r="E207" s="2"/>
      <c r="F207" s="2"/>
      <c r="G207" s="2"/>
      <c r="H207" s="2"/>
      <c r="I207" s="2"/>
      <c r="J207" s="2"/>
      <c r="K207" s="2"/>
      <c r="L207" s="2"/>
      <c r="M207" s="2"/>
      <c r="N207" s="3"/>
      <c r="O207" s="3"/>
      <c r="P207" s="3"/>
      <c r="Q207" s="21"/>
      <c r="R207" s="5"/>
      <c r="S207" s="5"/>
      <c r="T207" s="5"/>
      <c r="U207" s="2"/>
      <c r="V207" s="1"/>
    </row>
    <row r="208" spans="1:22" ht="20.100000000000001" customHeight="1" x14ac:dyDescent="0.25">
      <c r="A208" s="2"/>
      <c r="B208" s="2"/>
      <c r="C208" s="2"/>
      <c r="D208" s="2"/>
      <c r="E208" s="2"/>
      <c r="F208" s="2"/>
      <c r="G208" s="2"/>
      <c r="H208" s="2"/>
      <c r="I208" s="2"/>
      <c r="J208" s="2"/>
      <c r="K208" s="2"/>
      <c r="L208" s="2"/>
      <c r="M208" s="2"/>
      <c r="N208" s="3"/>
      <c r="O208" s="3"/>
      <c r="P208" s="3"/>
      <c r="Q208" s="21"/>
      <c r="R208" s="5"/>
      <c r="S208" s="5"/>
      <c r="T208" s="5"/>
      <c r="U208" s="2"/>
      <c r="V208" s="1"/>
    </row>
    <row r="209" spans="1:22" ht="20.100000000000001" customHeight="1" x14ac:dyDescent="0.25">
      <c r="A209" s="2"/>
      <c r="B209" s="2"/>
      <c r="C209" s="2"/>
      <c r="D209" s="2"/>
      <c r="E209" s="2"/>
      <c r="F209" s="2"/>
      <c r="G209" s="2"/>
      <c r="H209" s="2"/>
      <c r="I209" s="2"/>
      <c r="J209" s="2"/>
      <c r="K209" s="2"/>
      <c r="L209" s="2"/>
      <c r="M209" s="2"/>
      <c r="N209" s="3"/>
      <c r="O209" s="3"/>
      <c r="P209" s="3"/>
      <c r="Q209" s="21"/>
      <c r="R209" s="5"/>
      <c r="S209" s="5"/>
      <c r="T209" s="5"/>
      <c r="U209" s="2"/>
      <c r="V209" s="1"/>
    </row>
    <row r="210" spans="1:22" ht="20.100000000000001" customHeight="1" x14ac:dyDescent="0.25">
      <c r="A210" s="2"/>
      <c r="B210" s="2"/>
      <c r="C210" s="2"/>
      <c r="D210" s="2"/>
      <c r="E210" s="2"/>
      <c r="F210" s="2"/>
      <c r="G210" s="2"/>
      <c r="H210" s="2"/>
      <c r="I210" s="2"/>
      <c r="J210" s="2"/>
      <c r="K210" s="2"/>
      <c r="L210" s="2"/>
      <c r="M210" s="2"/>
      <c r="N210" s="3"/>
      <c r="O210" s="3"/>
      <c r="P210" s="3"/>
      <c r="Q210" s="21"/>
      <c r="R210" s="5"/>
      <c r="S210" s="5"/>
      <c r="T210" s="5"/>
      <c r="U210" s="2"/>
      <c r="V210" s="1"/>
    </row>
    <row r="211" spans="1:22" ht="20.100000000000001" customHeight="1" x14ac:dyDescent="0.25">
      <c r="A211" s="2"/>
      <c r="B211" s="2"/>
      <c r="C211" s="2"/>
      <c r="D211" s="2"/>
      <c r="E211" s="2"/>
      <c r="F211" s="2"/>
      <c r="G211" s="2"/>
      <c r="H211" s="2"/>
      <c r="I211" s="2"/>
      <c r="J211" s="2"/>
      <c r="K211" s="2"/>
      <c r="L211" s="2"/>
      <c r="M211" s="2"/>
      <c r="N211" s="3"/>
      <c r="O211" s="3"/>
      <c r="P211" s="3"/>
      <c r="Q211" s="21"/>
      <c r="R211" s="5"/>
      <c r="S211" s="5"/>
      <c r="T211" s="5"/>
      <c r="U211" s="2"/>
      <c r="V211" s="1"/>
    </row>
    <row r="212" spans="1:22" ht="20.100000000000001" customHeight="1" x14ac:dyDescent="0.25">
      <c r="A212" s="2"/>
      <c r="B212" s="2"/>
      <c r="C212" s="2"/>
      <c r="D212" s="2"/>
      <c r="E212" s="2"/>
      <c r="F212" s="2"/>
      <c r="G212" s="2"/>
      <c r="H212" s="2"/>
      <c r="I212" s="2"/>
      <c r="J212" s="2"/>
      <c r="K212" s="2"/>
      <c r="L212" s="2"/>
      <c r="M212" s="2"/>
      <c r="N212" s="3"/>
      <c r="O212" s="3"/>
      <c r="P212" s="3"/>
      <c r="Q212" s="21"/>
      <c r="R212" s="5"/>
      <c r="S212" s="5"/>
      <c r="T212" s="5"/>
      <c r="U212" s="2"/>
      <c r="V212" s="1"/>
    </row>
    <row r="213" spans="1:22" ht="20.100000000000001" customHeight="1" x14ac:dyDescent="0.25">
      <c r="A213" s="2"/>
      <c r="B213" s="2"/>
      <c r="C213" s="2"/>
      <c r="D213" s="2"/>
      <c r="E213" s="2"/>
      <c r="F213" s="2"/>
      <c r="G213" s="2"/>
      <c r="H213" s="2"/>
      <c r="I213" s="2"/>
      <c r="J213" s="2"/>
      <c r="K213" s="2"/>
      <c r="L213" s="2"/>
      <c r="M213" s="2"/>
      <c r="N213" s="3"/>
      <c r="O213" s="3"/>
      <c r="P213" s="3"/>
      <c r="Q213" s="21"/>
      <c r="R213" s="5"/>
      <c r="S213" s="5"/>
      <c r="T213" s="5"/>
      <c r="U213" s="2"/>
      <c r="V213" s="1"/>
    </row>
    <row r="214" spans="1:22" ht="20.100000000000001" customHeight="1" x14ac:dyDescent="0.25">
      <c r="A214" s="2"/>
      <c r="B214" s="2"/>
      <c r="C214" s="2"/>
      <c r="D214" s="2"/>
      <c r="E214" s="2"/>
      <c r="F214" s="2"/>
      <c r="G214" s="2"/>
      <c r="H214" s="2"/>
      <c r="I214" s="2"/>
      <c r="J214" s="2"/>
      <c r="K214" s="2"/>
      <c r="L214" s="2"/>
      <c r="M214" s="2"/>
      <c r="N214" s="3"/>
      <c r="O214" s="3"/>
      <c r="P214" s="3"/>
      <c r="Q214" s="21"/>
      <c r="R214" s="5"/>
      <c r="S214" s="5"/>
      <c r="T214" s="5"/>
      <c r="U214" s="2"/>
      <c r="V214" s="1"/>
    </row>
    <row r="215" spans="1:22" ht="20.100000000000001" customHeight="1" x14ac:dyDescent="0.25">
      <c r="A215" s="2"/>
      <c r="B215" s="2"/>
      <c r="C215" s="2"/>
      <c r="D215" s="2"/>
      <c r="E215" s="2"/>
      <c r="F215" s="2"/>
      <c r="G215" s="2"/>
      <c r="H215" s="2"/>
      <c r="I215" s="2"/>
      <c r="J215" s="2"/>
      <c r="K215" s="2"/>
      <c r="L215" s="2"/>
      <c r="M215" s="2"/>
      <c r="N215" s="3"/>
      <c r="O215" s="3"/>
      <c r="P215" s="3"/>
      <c r="Q215" s="21"/>
      <c r="R215" s="5"/>
      <c r="S215" s="5"/>
      <c r="T215" s="5"/>
      <c r="U215" s="2"/>
      <c r="V215" s="1"/>
    </row>
    <row r="216" spans="1:22" ht="20.100000000000001" customHeight="1" x14ac:dyDescent="0.25">
      <c r="A216" s="2"/>
      <c r="B216" s="2"/>
      <c r="C216" s="2"/>
      <c r="D216" s="2"/>
      <c r="E216" s="2"/>
      <c r="F216" s="2"/>
      <c r="G216" s="2"/>
      <c r="H216" s="2"/>
      <c r="I216" s="2"/>
      <c r="J216" s="2"/>
      <c r="K216" s="2"/>
      <c r="L216" s="2"/>
      <c r="M216" s="2"/>
      <c r="N216" s="3"/>
      <c r="O216" s="3"/>
      <c r="P216" s="3"/>
      <c r="Q216" s="21"/>
      <c r="R216" s="5"/>
      <c r="S216" s="5"/>
      <c r="T216" s="5"/>
      <c r="U216" s="2"/>
      <c r="V216" s="1"/>
    </row>
    <row r="217" spans="1:22" ht="20.100000000000001" customHeight="1" x14ac:dyDescent="0.25">
      <c r="A217" s="2"/>
      <c r="B217" s="2"/>
      <c r="C217" s="2"/>
      <c r="D217" s="2"/>
      <c r="E217" s="2"/>
      <c r="F217" s="2"/>
      <c r="G217" s="2"/>
      <c r="H217" s="2"/>
      <c r="I217" s="2"/>
      <c r="J217" s="2"/>
      <c r="K217" s="2"/>
      <c r="L217" s="2"/>
      <c r="M217" s="2"/>
      <c r="N217" s="3"/>
      <c r="O217" s="3"/>
      <c r="P217" s="3"/>
      <c r="Q217" s="21"/>
      <c r="R217" s="5"/>
      <c r="S217" s="5"/>
      <c r="T217" s="5"/>
      <c r="U217" s="2"/>
      <c r="V217" s="1"/>
    </row>
    <row r="218" spans="1:22" ht="20.100000000000001" customHeight="1" x14ac:dyDescent="0.25">
      <c r="A218" s="2"/>
      <c r="B218" s="2"/>
      <c r="C218" s="2"/>
      <c r="D218" s="2"/>
      <c r="E218" s="2"/>
      <c r="F218" s="2"/>
      <c r="G218" s="2"/>
      <c r="H218" s="2"/>
      <c r="I218" s="2"/>
      <c r="J218" s="2"/>
      <c r="K218" s="2"/>
      <c r="L218" s="2"/>
      <c r="M218" s="2"/>
      <c r="N218" s="3"/>
      <c r="O218" s="3"/>
      <c r="P218" s="3"/>
      <c r="Q218" s="21"/>
      <c r="R218" s="5"/>
      <c r="S218" s="5"/>
      <c r="T218" s="5"/>
      <c r="U218" s="2"/>
      <c r="V218" s="1"/>
    </row>
    <row r="219" spans="1:22" ht="20.100000000000001" customHeight="1" x14ac:dyDescent="0.25">
      <c r="A219" s="2"/>
      <c r="B219" s="2"/>
      <c r="C219" s="2"/>
      <c r="D219" s="2"/>
      <c r="E219" s="2"/>
      <c r="F219" s="2"/>
      <c r="G219" s="2"/>
      <c r="H219" s="2"/>
      <c r="I219" s="2"/>
      <c r="J219" s="2"/>
      <c r="K219" s="2"/>
      <c r="L219" s="2"/>
      <c r="M219" s="2"/>
      <c r="N219" s="3"/>
      <c r="O219" s="3"/>
      <c r="P219" s="3"/>
      <c r="Q219" s="21"/>
      <c r="R219" s="5"/>
      <c r="S219" s="5"/>
      <c r="T219" s="5"/>
      <c r="U219" s="2"/>
      <c r="V219" s="1"/>
    </row>
    <row r="220" spans="1:22" ht="20.100000000000001" customHeight="1" x14ac:dyDescent="0.25">
      <c r="A220" s="2"/>
      <c r="B220" s="2"/>
      <c r="C220" s="2"/>
      <c r="D220" s="2"/>
      <c r="E220" s="2"/>
      <c r="F220" s="2"/>
      <c r="G220" s="2"/>
      <c r="H220" s="2"/>
      <c r="I220" s="2"/>
      <c r="J220" s="2"/>
      <c r="K220" s="2"/>
      <c r="L220" s="2"/>
      <c r="M220" s="2"/>
      <c r="N220" s="3"/>
      <c r="O220" s="3"/>
      <c r="P220" s="3"/>
      <c r="Q220" s="21"/>
      <c r="R220" s="5"/>
      <c r="S220" s="5"/>
      <c r="T220" s="5"/>
      <c r="U220" s="2"/>
      <c r="V220" s="1"/>
    </row>
    <row r="221" spans="1:22" ht="20.100000000000001" customHeight="1" x14ac:dyDescent="0.25">
      <c r="A221" s="2"/>
      <c r="B221" s="2"/>
      <c r="C221" s="2"/>
      <c r="D221" s="2"/>
      <c r="E221" s="2"/>
      <c r="F221" s="2"/>
      <c r="G221" s="2"/>
      <c r="H221" s="2"/>
      <c r="I221" s="2"/>
      <c r="J221" s="2"/>
      <c r="K221" s="2"/>
      <c r="L221" s="2"/>
      <c r="M221" s="2"/>
      <c r="N221" s="3"/>
      <c r="O221" s="3"/>
      <c r="P221" s="3"/>
      <c r="Q221" s="21"/>
      <c r="R221" s="5"/>
      <c r="S221" s="5"/>
      <c r="T221" s="5"/>
      <c r="U221" s="2"/>
      <c r="V221" s="1"/>
    </row>
    <row r="222" spans="1:22" ht="20.100000000000001" customHeight="1" x14ac:dyDescent="0.25">
      <c r="A222" s="2"/>
      <c r="B222" s="2"/>
      <c r="C222" s="2"/>
      <c r="D222" s="2"/>
      <c r="E222" s="2"/>
      <c r="F222" s="2"/>
      <c r="G222" s="2"/>
      <c r="H222" s="2"/>
      <c r="I222" s="2"/>
      <c r="J222" s="2"/>
      <c r="K222" s="2"/>
      <c r="L222" s="2"/>
      <c r="M222" s="2"/>
      <c r="N222" s="3"/>
      <c r="O222" s="3"/>
      <c r="P222" s="3"/>
      <c r="Q222" s="21"/>
      <c r="R222" s="5"/>
      <c r="S222" s="5"/>
      <c r="T222" s="5"/>
      <c r="U222" s="2"/>
      <c r="V222" s="1"/>
    </row>
    <row r="223" spans="1:22" ht="20.100000000000001" customHeight="1" x14ac:dyDescent="0.25">
      <c r="A223" s="2"/>
      <c r="B223" s="2"/>
      <c r="C223" s="2"/>
      <c r="D223" s="2"/>
      <c r="E223" s="2"/>
      <c r="F223" s="2"/>
      <c r="G223" s="2"/>
      <c r="H223" s="2"/>
      <c r="I223" s="2"/>
      <c r="J223" s="2"/>
      <c r="K223" s="2"/>
      <c r="L223" s="2"/>
      <c r="M223" s="2"/>
      <c r="N223" s="3"/>
      <c r="O223" s="3"/>
      <c r="P223" s="3"/>
      <c r="Q223" s="21"/>
      <c r="R223" s="5"/>
      <c r="S223" s="5"/>
      <c r="T223" s="5"/>
      <c r="U223" s="2"/>
      <c r="V223" s="1"/>
    </row>
    <row r="224" spans="1:22" ht="20.100000000000001" customHeight="1" x14ac:dyDescent="0.25">
      <c r="A224" s="2"/>
      <c r="B224" s="2"/>
      <c r="C224" s="2"/>
      <c r="D224" s="2"/>
      <c r="E224" s="2"/>
      <c r="F224" s="2"/>
      <c r="G224" s="2"/>
      <c r="H224" s="2"/>
      <c r="I224" s="2"/>
      <c r="J224" s="2"/>
      <c r="K224" s="2"/>
      <c r="L224" s="2"/>
      <c r="M224" s="2"/>
      <c r="N224" s="3"/>
      <c r="O224" s="3"/>
      <c r="P224" s="3"/>
      <c r="Q224" s="21"/>
      <c r="R224" s="5"/>
      <c r="S224" s="5"/>
      <c r="T224" s="5"/>
      <c r="U224" s="2"/>
      <c r="V224" s="1"/>
    </row>
    <row r="225" spans="1:22" ht="20.100000000000001" customHeight="1" x14ac:dyDescent="0.25">
      <c r="A225" s="2"/>
      <c r="B225" s="2"/>
      <c r="C225" s="2"/>
      <c r="D225" s="2"/>
      <c r="E225" s="2"/>
      <c r="F225" s="2"/>
      <c r="G225" s="2"/>
      <c r="H225" s="2"/>
      <c r="I225" s="2"/>
      <c r="J225" s="2"/>
      <c r="K225" s="2"/>
      <c r="L225" s="2"/>
      <c r="M225" s="2"/>
      <c r="N225" s="3"/>
      <c r="O225" s="3"/>
      <c r="P225" s="3"/>
      <c r="Q225" s="21"/>
      <c r="R225" s="5"/>
      <c r="S225" s="5"/>
      <c r="T225" s="5"/>
      <c r="U225" s="2"/>
      <c r="V225" s="1"/>
    </row>
    <row r="226" spans="1:22" ht="20.100000000000001" customHeight="1" x14ac:dyDescent="0.25">
      <c r="A226" s="2"/>
      <c r="B226" s="2"/>
      <c r="C226" s="2"/>
      <c r="D226" s="2"/>
      <c r="E226" s="2"/>
      <c r="F226" s="2"/>
      <c r="G226" s="2"/>
      <c r="H226" s="2"/>
      <c r="I226" s="2"/>
      <c r="J226" s="2"/>
      <c r="K226" s="2"/>
      <c r="L226" s="2"/>
      <c r="M226" s="2"/>
      <c r="N226" s="3"/>
      <c r="O226" s="3"/>
      <c r="P226" s="3"/>
      <c r="Q226" s="21"/>
      <c r="R226" s="5"/>
      <c r="S226" s="5"/>
      <c r="T226" s="5"/>
      <c r="U226" s="2"/>
      <c r="V226" s="1"/>
    </row>
    <row r="227" spans="1:22" ht="20.100000000000001" customHeight="1" x14ac:dyDescent="0.25">
      <c r="A227" s="2"/>
      <c r="B227" s="2"/>
      <c r="C227" s="2"/>
      <c r="D227" s="2"/>
      <c r="E227" s="2"/>
      <c r="F227" s="2"/>
      <c r="G227" s="2"/>
      <c r="H227" s="2"/>
      <c r="I227" s="2"/>
      <c r="J227" s="2"/>
      <c r="K227" s="2"/>
      <c r="L227" s="2"/>
      <c r="M227" s="2"/>
      <c r="N227" s="3"/>
      <c r="O227" s="3"/>
      <c r="P227" s="3"/>
      <c r="Q227" s="21"/>
      <c r="R227" s="5"/>
      <c r="S227" s="5"/>
      <c r="T227" s="5"/>
      <c r="U227" s="2"/>
      <c r="V227" s="1"/>
    </row>
    <row r="228" spans="1:22" ht="20.100000000000001" customHeight="1" x14ac:dyDescent="0.25">
      <c r="A228" s="2"/>
      <c r="B228" s="2"/>
      <c r="C228" s="2"/>
      <c r="D228" s="2"/>
      <c r="E228" s="2"/>
      <c r="F228" s="2"/>
      <c r="G228" s="2"/>
      <c r="H228" s="2"/>
      <c r="I228" s="2"/>
      <c r="J228" s="2"/>
      <c r="K228" s="2"/>
      <c r="L228" s="2"/>
      <c r="M228" s="2"/>
      <c r="N228" s="3"/>
      <c r="O228" s="3"/>
      <c r="P228" s="3"/>
      <c r="Q228" s="21"/>
      <c r="R228" s="5"/>
      <c r="S228" s="5"/>
      <c r="T228" s="5"/>
      <c r="U228" s="2"/>
      <c r="V228" s="1"/>
    </row>
    <row r="229" spans="1:22" ht="20.100000000000001" customHeight="1" x14ac:dyDescent="0.25">
      <c r="A229" s="2"/>
      <c r="B229" s="2"/>
      <c r="C229" s="2"/>
      <c r="D229" s="2"/>
      <c r="E229" s="2"/>
      <c r="F229" s="2"/>
      <c r="G229" s="2"/>
      <c r="H229" s="2"/>
      <c r="I229" s="2"/>
      <c r="J229" s="2"/>
      <c r="K229" s="2"/>
      <c r="L229" s="2"/>
      <c r="M229" s="2"/>
      <c r="N229" s="3"/>
      <c r="O229" s="3"/>
      <c r="P229" s="3"/>
      <c r="Q229" s="21"/>
      <c r="R229" s="5"/>
      <c r="S229" s="5"/>
      <c r="T229" s="5"/>
      <c r="U229" s="2"/>
      <c r="V229" s="1"/>
    </row>
    <row r="230" spans="1:22" ht="20.100000000000001" customHeight="1" x14ac:dyDescent="0.25">
      <c r="A230" s="2"/>
      <c r="B230" s="2"/>
      <c r="C230" s="2"/>
      <c r="D230" s="2"/>
      <c r="E230" s="2"/>
      <c r="F230" s="2"/>
      <c r="G230" s="2"/>
      <c r="H230" s="2"/>
      <c r="I230" s="2"/>
      <c r="J230" s="2"/>
      <c r="K230" s="2"/>
      <c r="L230" s="2"/>
      <c r="M230" s="2"/>
      <c r="N230" s="3"/>
      <c r="O230" s="3"/>
      <c r="P230" s="3"/>
      <c r="Q230" s="21"/>
      <c r="R230" s="5"/>
      <c r="S230" s="5"/>
      <c r="T230" s="5"/>
      <c r="U230" s="2"/>
      <c r="V230" s="1"/>
    </row>
    <row r="231" spans="1:22" ht="20.100000000000001" customHeight="1" x14ac:dyDescent="0.25">
      <c r="A231" s="2"/>
      <c r="B231" s="2"/>
      <c r="C231" s="2"/>
      <c r="D231" s="2"/>
      <c r="E231" s="2"/>
      <c r="F231" s="2"/>
      <c r="G231" s="2"/>
      <c r="H231" s="2"/>
      <c r="I231" s="2"/>
      <c r="J231" s="2"/>
      <c r="K231" s="2"/>
      <c r="L231" s="2"/>
      <c r="M231" s="2"/>
      <c r="N231" s="3"/>
      <c r="O231" s="3"/>
      <c r="P231" s="3"/>
      <c r="Q231" s="21"/>
      <c r="R231" s="5"/>
      <c r="S231" s="5"/>
      <c r="T231" s="5"/>
      <c r="U231" s="2"/>
      <c r="V231" s="1"/>
    </row>
    <row r="232" spans="1:22" ht="20.100000000000001" customHeight="1" x14ac:dyDescent="0.25">
      <c r="A232" s="2"/>
      <c r="B232" s="2"/>
      <c r="C232" s="2"/>
      <c r="D232" s="2"/>
      <c r="E232" s="2"/>
      <c r="F232" s="2"/>
      <c r="G232" s="2"/>
      <c r="H232" s="2"/>
      <c r="I232" s="2"/>
      <c r="J232" s="2"/>
      <c r="K232" s="2"/>
      <c r="L232" s="2"/>
      <c r="M232" s="2"/>
      <c r="N232" s="3"/>
      <c r="O232" s="3"/>
      <c r="P232" s="3"/>
      <c r="Q232" s="21"/>
      <c r="R232" s="5"/>
      <c r="S232" s="5"/>
      <c r="T232" s="5"/>
      <c r="U232" s="2"/>
      <c r="V232" s="1"/>
    </row>
    <row r="233" spans="1:22" ht="20.100000000000001" customHeight="1" x14ac:dyDescent="0.25">
      <c r="A233" s="2"/>
      <c r="B233" s="2"/>
      <c r="C233" s="2"/>
      <c r="D233" s="2"/>
      <c r="E233" s="2"/>
      <c r="F233" s="2"/>
      <c r="G233" s="2"/>
      <c r="H233" s="2"/>
      <c r="I233" s="2"/>
      <c r="J233" s="2"/>
      <c r="K233" s="2"/>
      <c r="L233" s="2"/>
      <c r="M233" s="2"/>
      <c r="N233" s="3"/>
      <c r="O233" s="3"/>
      <c r="P233" s="3"/>
      <c r="Q233" s="21"/>
      <c r="R233" s="5"/>
      <c r="S233" s="5"/>
      <c r="T233" s="5"/>
      <c r="U233" s="2"/>
      <c r="V233" s="1"/>
    </row>
    <row r="234" spans="1:22" ht="20.100000000000001" customHeight="1" x14ac:dyDescent="0.25">
      <c r="A234" s="2"/>
      <c r="B234" s="2"/>
      <c r="C234" s="2"/>
      <c r="D234" s="2"/>
      <c r="E234" s="2"/>
      <c r="F234" s="2"/>
      <c r="G234" s="2"/>
      <c r="H234" s="2"/>
      <c r="I234" s="2"/>
      <c r="J234" s="2"/>
      <c r="K234" s="2"/>
      <c r="L234" s="2"/>
      <c r="M234" s="2"/>
      <c r="N234" s="3"/>
      <c r="O234" s="3"/>
      <c r="P234" s="3"/>
      <c r="Q234" s="21"/>
      <c r="R234" s="5"/>
      <c r="S234" s="5"/>
      <c r="T234" s="5"/>
      <c r="U234" s="2"/>
      <c r="V234" s="1"/>
    </row>
    <row r="235" spans="1:22" ht="20.100000000000001" customHeight="1" x14ac:dyDescent="0.25">
      <c r="A235" s="2"/>
      <c r="B235" s="2"/>
      <c r="C235" s="2"/>
      <c r="D235" s="2"/>
      <c r="E235" s="2"/>
      <c r="F235" s="2"/>
      <c r="G235" s="2"/>
      <c r="H235" s="2"/>
      <c r="I235" s="2"/>
      <c r="J235" s="2"/>
      <c r="K235" s="2"/>
      <c r="L235" s="2"/>
      <c r="M235" s="2"/>
      <c r="N235" s="3"/>
      <c r="O235" s="3"/>
      <c r="P235" s="3"/>
      <c r="Q235" s="21"/>
      <c r="R235" s="5"/>
      <c r="S235" s="5"/>
      <c r="T235" s="5"/>
      <c r="U235" s="2"/>
      <c r="V235" s="1"/>
    </row>
    <row r="236" spans="1:22" ht="20.100000000000001" customHeight="1" x14ac:dyDescent="0.25">
      <c r="A236" s="2"/>
      <c r="B236" s="2"/>
      <c r="C236" s="2"/>
      <c r="D236" s="2"/>
      <c r="E236" s="2"/>
      <c r="F236" s="2"/>
      <c r="G236" s="2"/>
      <c r="H236" s="2"/>
      <c r="I236" s="2"/>
      <c r="J236" s="2"/>
      <c r="K236" s="2"/>
      <c r="L236" s="2"/>
      <c r="M236" s="2"/>
      <c r="N236" s="3"/>
      <c r="O236" s="3"/>
      <c r="P236" s="3"/>
      <c r="Q236" s="21"/>
      <c r="R236" s="5"/>
      <c r="S236" s="5"/>
      <c r="T236" s="5"/>
      <c r="U236" s="2"/>
      <c r="V236" s="1"/>
    </row>
    <row r="237" spans="1:22" ht="20.100000000000001" customHeight="1" x14ac:dyDescent="0.25">
      <c r="A237" s="2"/>
      <c r="B237" s="2"/>
      <c r="C237" s="2"/>
      <c r="D237" s="2"/>
      <c r="E237" s="2"/>
      <c r="F237" s="2"/>
      <c r="G237" s="2"/>
      <c r="H237" s="2"/>
      <c r="I237" s="2"/>
      <c r="J237" s="2"/>
      <c r="K237" s="2"/>
      <c r="L237" s="2"/>
      <c r="M237" s="2"/>
      <c r="N237" s="3"/>
      <c r="O237" s="3"/>
      <c r="P237" s="3"/>
      <c r="Q237" s="21"/>
      <c r="R237" s="5"/>
      <c r="S237" s="5"/>
      <c r="T237" s="5"/>
      <c r="U237" s="2"/>
      <c r="V237" s="1"/>
    </row>
    <row r="238" spans="1:22" ht="20.100000000000001" customHeight="1" x14ac:dyDescent="0.25">
      <c r="A238" s="2"/>
      <c r="B238" s="2"/>
      <c r="C238" s="2"/>
      <c r="D238" s="2"/>
      <c r="E238" s="2"/>
      <c r="F238" s="2"/>
      <c r="G238" s="2"/>
      <c r="H238" s="2"/>
      <c r="I238" s="2"/>
      <c r="J238" s="2"/>
      <c r="K238" s="2"/>
      <c r="L238" s="2"/>
      <c r="M238" s="2"/>
      <c r="N238" s="3"/>
      <c r="O238" s="3"/>
      <c r="P238" s="3"/>
      <c r="Q238" s="21"/>
      <c r="R238" s="5"/>
      <c r="S238" s="5"/>
      <c r="T238" s="5"/>
      <c r="U238" s="2"/>
      <c r="V238" s="1"/>
    </row>
    <row r="239" spans="1:22" ht="20.100000000000001" customHeight="1" x14ac:dyDescent="0.25">
      <c r="A239" s="2"/>
      <c r="B239" s="2"/>
      <c r="C239" s="2"/>
      <c r="D239" s="2"/>
      <c r="E239" s="2"/>
      <c r="F239" s="2"/>
      <c r="G239" s="2"/>
      <c r="H239" s="2"/>
      <c r="I239" s="2"/>
      <c r="J239" s="2"/>
      <c r="K239" s="2"/>
      <c r="L239" s="2"/>
      <c r="M239" s="2"/>
      <c r="N239" s="3"/>
      <c r="O239" s="3"/>
      <c r="P239" s="3"/>
      <c r="Q239" s="21"/>
      <c r="R239" s="5"/>
      <c r="S239" s="5"/>
      <c r="T239" s="5"/>
      <c r="U239" s="2"/>
      <c r="V239" s="1"/>
    </row>
    <row r="240" spans="1:22" ht="20.100000000000001" customHeight="1" x14ac:dyDescent="0.25">
      <c r="A240" s="2"/>
      <c r="B240" s="2"/>
      <c r="C240" s="2"/>
      <c r="D240" s="2"/>
      <c r="E240" s="2"/>
      <c r="F240" s="2"/>
      <c r="G240" s="2"/>
      <c r="H240" s="2"/>
      <c r="I240" s="2"/>
      <c r="J240" s="2"/>
      <c r="K240" s="2"/>
      <c r="L240" s="2"/>
      <c r="M240" s="2"/>
      <c r="N240" s="3"/>
      <c r="O240" s="3"/>
      <c r="P240" s="3"/>
      <c r="Q240" s="21"/>
      <c r="R240" s="5"/>
      <c r="S240" s="5"/>
      <c r="T240" s="5"/>
      <c r="U240" s="2"/>
      <c r="V240" s="1"/>
    </row>
    <row r="241" spans="1:22" ht="20.100000000000001" customHeight="1" x14ac:dyDescent="0.25">
      <c r="A241" s="2"/>
      <c r="B241" s="2"/>
      <c r="C241" s="2"/>
      <c r="D241" s="2"/>
      <c r="E241" s="2"/>
      <c r="F241" s="2"/>
      <c r="G241" s="2"/>
      <c r="H241" s="2"/>
      <c r="I241" s="2"/>
      <c r="J241" s="2"/>
      <c r="K241" s="2"/>
      <c r="L241" s="2"/>
      <c r="M241" s="2"/>
      <c r="N241" s="3"/>
      <c r="O241" s="3"/>
      <c r="P241" s="3"/>
      <c r="Q241" s="21"/>
      <c r="R241" s="5"/>
      <c r="S241" s="5"/>
      <c r="T241" s="5"/>
      <c r="U241" s="2"/>
      <c r="V241" s="1"/>
    </row>
    <row r="242" spans="1:22" ht="20.100000000000001" customHeight="1" x14ac:dyDescent="0.25">
      <c r="A242" s="2"/>
      <c r="B242" s="2"/>
      <c r="C242" s="2"/>
      <c r="D242" s="2"/>
      <c r="E242" s="2"/>
      <c r="F242" s="2"/>
      <c r="G242" s="2"/>
      <c r="H242" s="2"/>
      <c r="I242" s="2"/>
      <c r="J242" s="2"/>
      <c r="K242" s="2"/>
      <c r="L242" s="2"/>
      <c r="M242" s="2"/>
      <c r="N242" s="3"/>
      <c r="O242" s="3"/>
      <c r="P242" s="3"/>
      <c r="Q242" s="21"/>
      <c r="R242" s="5"/>
      <c r="S242" s="5"/>
      <c r="T242" s="5"/>
      <c r="U242" s="2"/>
      <c r="V242" s="1"/>
    </row>
    <row r="243" spans="1:22" ht="20.100000000000001" customHeight="1" x14ac:dyDescent="0.25">
      <c r="A243" s="2"/>
      <c r="B243" s="2"/>
      <c r="C243" s="2"/>
      <c r="D243" s="2"/>
      <c r="E243" s="2"/>
      <c r="F243" s="2"/>
      <c r="G243" s="2"/>
      <c r="H243" s="2"/>
      <c r="I243" s="2"/>
      <c r="J243" s="2"/>
      <c r="K243" s="2"/>
      <c r="L243" s="2"/>
      <c r="M243" s="2"/>
      <c r="N243" s="3"/>
      <c r="O243" s="3"/>
      <c r="P243" s="3"/>
      <c r="Q243" s="21"/>
      <c r="R243" s="5"/>
      <c r="S243" s="5"/>
      <c r="T243" s="5"/>
      <c r="U243" s="2"/>
      <c r="V243" s="1"/>
    </row>
    <row r="244" spans="1:22" ht="20.100000000000001" customHeight="1" x14ac:dyDescent="0.25">
      <c r="A244" s="2"/>
      <c r="B244" s="2"/>
      <c r="C244" s="2"/>
      <c r="D244" s="2"/>
      <c r="E244" s="2"/>
      <c r="F244" s="2"/>
      <c r="G244" s="2"/>
      <c r="H244" s="2"/>
      <c r="I244" s="2"/>
      <c r="J244" s="2"/>
      <c r="K244" s="2"/>
      <c r="L244" s="2"/>
      <c r="M244" s="2"/>
      <c r="N244" s="3"/>
      <c r="O244" s="3"/>
      <c r="P244" s="3"/>
      <c r="Q244" s="21"/>
      <c r="R244" s="5"/>
      <c r="S244" s="5"/>
      <c r="T244" s="5"/>
      <c r="U244" s="2"/>
      <c r="V244" s="1"/>
    </row>
    <row r="245" spans="1:22" ht="20.100000000000001" customHeight="1" x14ac:dyDescent="0.25">
      <c r="A245" s="2"/>
      <c r="B245" s="2"/>
      <c r="C245" s="2"/>
      <c r="D245" s="2"/>
      <c r="E245" s="2"/>
      <c r="F245" s="2"/>
      <c r="G245" s="2"/>
      <c r="H245" s="2"/>
      <c r="I245" s="2"/>
      <c r="J245" s="2"/>
      <c r="K245" s="2"/>
      <c r="L245" s="2"/>
      <c r="M245" s="2"/>
      <c r="N245" s="3"/>
      <c r="O245" s="3"/>
      <c r="P245" s="3"/>
      <c r="Q245" s="21"/>
      <c r="R245" s="5"/>
      <c r="S245" s="5"/>
      <c r="T245" s="5"/>
      <c r="U245" s="2"/>
      <c r="V245" s="1"/>
    </row>
    <row r="246" spans="1:22" ht="20.100000000000001" customHeight="1" x14ac:dyDescent="0.25">
      <c r="A246" s="2"/>
      <c r="B246" s="2"/>
      <c r="C246" s="2"/>
      <c r="D246" s="2"/>
      <c r="E246" s="2"/>
      <c r="F246" s="2"/>
      <c r="G246" s="2"/>
      <c r="H246" s="2"/>
      <c r="I246" s="2"/>
      <c r="J246" s="2"/>
      <c r="K246" s="2"/>
      <c r="L246" s="2"/>
      <c r="M246" s="2"/>
      <c r="N246" s="3"/>
      <c r="O246" s="3"/>
      <c r="P246" s="3"/>
      <c r="Q246" s="21"/>
      <c r="R246" s="5"/>
      <c r="S246" s="5"/>
      <c r="T246" s="5"/>
      <c r="U246" s="2"/>
      <c r="V246" s="1"/>
    </row>
    <row r="247" spans="1:22" ht="20.100000000000001" customHeight="1" x14ac:dyDescent="0.25">
      <c r="A247" s="2"/>
      <c r="B247" s="2"/>
      <c r="C247" s="2"/>
      <c r="D247" s="2"/>
      <c r="E247" s="2"/>
      <c r="F247" s="2"/>
      <c r="G247" s="2"/>
      <c r="H247" s="2"/>
      <c r="I247" s="2"/>
      <c r="J247" s="2"/>
      <c r="K247" s="2"/>
      <c r="L247" s="2"/>
      <c r="M247" s="2"/>
      <c r="N247" s="3"/>
      <c r="O247" s="3"/>
      <c r="P247" s="3"/>
      <c r="Q247" s="21"/>
      <c r="R247" s="5"/>
      <c r="S247" s="5"/>
      <c r="T247" s="5"/>
      <c r="U247" s="2"/>
      <c r="V247" s="1"/>
    </row>
    <row r="248" spans="1:22" ht="20.100000000000001" customHeight="1" x14ac:dyDescent="0.25">
      <c r="A248" s="2"/>
      <c r="B248" s="2"/>
      <c r="C248" s="2"/>
      <c r="D248" s="2"/>
      <c r="E248" s="2"/>
      <c r="F248" s="2"/>
      <c r="G248" s="2"/>
      <c r="H248" s="2"/>
      <c r="I248" s="2"/>
      <c r="J248" s="2"/>
      <c r="K248" s="2"/>
      <c r="L248" s="2"/>
      <c r="M248" s="2"/>
      <c r="N248" s="3"/>
      <c r="O248" s="3"/>
      <c r="P248" s="3"/>
      <c r="Q248" s="21"/>
      <c r="R248" s="5"/>
      <c r="S248" s="5"/>
      <c r="T248" s="5"/>
      <c r="U248" s="2"/>
      <c r="V248" s="1"/>
    </row>
    <row r="249" spans="1:22" ht="20.100000000000001" customHeight="1" x14ac:dyDescent="0.25">
      <c r="A249" s="2"/>
      <c r="B249" s="2"/>
      <c r="C249" s="2"/>
      <c r="D249" s="2"/>
      <c r="E249" s="2"/>
      <c r="F249" s="2"/>
      <c r="G249" s="2"/>
      <c r="H249" s="2"/>
      <c r="I249" s="2"/>
      <c r="J249" s="2"/>
      <c r="K249" s="2"/>
      <c r="L249" s="2"/>
      <c r="M249" s="2"/>
      <c r="N249" s="3"/>
      <c r="O249" s="3"/>
      <c r="P249" s="3"/>
      <c r="Q249" s="21"/>
      <c r="R249" s="5"/>
      <c r="S249" s="5"/>
      <c r="T249" s="5"/>
      <c r="U249" s="2"/>
      <c r="V249" s="1"/>
    </row>
    <row r="250" spans="1:22" ht="20.100000000000001" customHeight="1" x14ac:dyDescent="0.25">
      <c r="A250" s="2"/>
      <c r="B250" s="2"/>
      <c r="C250" s="2"/>
      <c r="D250" s="2"/>
      <c r="E250" s="2"/>
      <c r="F250" s="2"/>
      <c r="G250" s="2"/>
      <c r="H250" s="2"/>
      <c r="I250" s="2"/>
      <c r="J250" s="2"/>
      <c r="K250" s="2"/>
      <c r="L250" s="2"/>
      <c r="M250" s="2"/>
      <c r="N250" s="3"/>
      <c r="O250" s="3"/>
      <c r="P250" s="3"/>
      <c r="Q250" s="21"/>
      <c r="R250" s="5"/>
      <c r="S250" s="5"/>
      <c r="T250" s="5"/>
      <c r="U250" s="2"/>
      <c r="V250" s="1"/>
    </row>
    <row r="251" spans="1:22" ht="20.100000000000001" customHeight="1" x14ac:dyDescent="0.25">
      <c r="A251" s="2"/>
      <c r="B251" s="2"/>
      <c r="C251" s="2"/>
      <c r="D251" s="2"/>
      <c r="E251" s="2"/>
      <c r="F251" s="2"/>
      <c r="G251" s="2"/>
      <c r="H251" s="2"/>
      <c r="I251" s="2"/>
      <c r="J251" s="2"/>
      <c r="K251" s="2"/>
      <c r="L251" s="2"/>
      <c r="M251" s="2"/>
      <c r="N251" s="3"/>
      <c r="O251" s="3"/>
      <c r="P251" s="3"/>
      <c r="Q251" s="21"/>
      <c r="R251" s="5"/>
      <c r="S251" s="5"/>
      <c r="T251" s="5"/>
      <c r="U251" s="2"/>
      <c r="V251" s="1"/>
    </row>
    <row r="252" spans="1:22" ht="20.100000000000001" customHeight="1" x14ac:dyDescent="0.25">
      <c r="A252" s="2"/>
      <c r="B252" s="2"/>
      <c r="C252" s="2"/>
      <c r="D252" s="2"/>
      <c r="E252" s="2"/>
      <c r="F252" s="2"/>
      <c r="G252" s="2"/>
      <c r="H252" s="2"/>
      <c r="I252" s="2"/>
      <c r="J252" s="2"/>
      <c r="K252" s="2"/>
      <c r="L252" s="2"/>
      <c r="M252" s="2"/>
      <c r="N252" s="3"/>
      <c r="O252" s="3"/>
      <c r="P252" s="3"/>
      <c r="Q252" s="21"/>
      <c r="R252" s="5"/>
      <c r="S252" s="5"/>
      <c r="T252" s="5"/>
      <c r="U252" s="2"/>
      <c r="V252" s="1"/>
    </row>
    <row r="253" spans="1:22" ht="20.100000000000001" customHeight="1" x14ac:dyDescent="0.25">
      <c r="A253" s="2"/>
      <c r="B253" s="2"/>
      <c r="C253" s="2"/>
      <c r="D253" s="2"/>
      <c r="E253" s="2"/>
      <c r="F253" s="2"/>
      <c r="G253" s="2"/>
      <c r="H253" s="2"/>
      <c r="I253" s="2"/>
      <c r="J253" s="2"/>
      <c r="K253" s="2"/>
      <c r="L253" s="2"/>
      <c r="M253" s="2"/>
      <c r="N253" s="3"/>
      <c r="O253" s="3"/>
      <c r="P253" s="3"/>
      <c r="Q253" s="21"/>
      <c r="R253" s="5"/>
      <c r="S253" s="5"/>
      <c r="T253" s="5"/>
      <c r="U253" s="2"/>
      <c r="V253" s="1"/>
    </row>
    <row r="254" spans="1:22" ht="20.100000000000001" customHeight="1" x14ac:dyDescent="0.25">
      <c r="A254" s="2"/>
      <c r="B254" s="2"/>
      <c r="C254" s="2"/>
      <c r="D254" s="2"/>
      <c r="E254" s="2"/>
      <c r="F254" s="2"/>
      <c r="G254" s="2"/>
      <c r="H254" s="2"/>
      <c r="I254" s="2"/>
      <c r="J254" s="2"/>
      <c r="K254" s="2"/>
      <c r="L254" s="2"/>
      <c r="M254" s="2"/>
      <c r="N254" s="3"/>
      <c r="O254" s="3"/>
      <c r="P254" s="3"/>
      <c r="Q254" s="21"/>
      <c r="R254" s="5"/>
      <c r="S254" s="5"/>
      <c r="T254" s="5"/>
      <c r="U254" s="2"/>
      <c r="V254" s="1"/>
    </row>
    <row r="255" spans="1:22" ht="20.100000000000001" customHeight="1" x14ac:dyDescent="0.25">
      <c r="A255" s="2"/>
      <c r="B255" s="2"/>
      <c r="C255" s="2"/>
      <c r="D255" s="2"/>
      <c r="E255" s="2"/>
      <c r="F255" s="2"/>
      <c r="G255" s="2"/>
      <c r="H255" s="2"/>
      <c r="I255" s="2"/>
      <c r="J255" s="2"/>
      <c r="K255" s="2"/>
      <c r="L255" s="2"/>
      <c r="M255" s="2"/>
      <c r="N255" s="3"/>
      <c r="O255" s="3"/>
      <c r="P255" s="3"/>
      <c r="Q255" s="21"/>
      <c r="R255" s="5"/>
      <c r="S255" s="5"/>
      <c r="T255" s="5"/>
      <c r="U255" s="2"/>
      <c r="V255" s="1"/>
    </row>
    <row r="256" spans="1:22" ht="20.100000000000001" customHeight="1" x14ac:dyDescent="0.25">
      <c r="A256" s="2"/>
      <c r="B256" s="2"/>
      <c r="C256" s="2"/>
      <c r="D256" s="2"/>
      <c r="E256" s="2"/>
      <c r="F256" s="2"/>
      <c r="G256" s="2"/>
      <c r="H256" s="2"/>
      <c r="I256" s="2"/>
      <c r="J256" s="2"/>
      <c r="K256" s="2"/>
      <c r="L256" s="2"/>
      <c r="M256" s="2"/>
      <c r="N256" s="3"/>
      <c r="O256" s="3"/>
      <c r="P256" s="3"/>
      <c r="Q256" s="21"/>
      <c r="R256" s="5"/>
      <c r="S256" s="5"/>
      <c r="T256" s="5"/>
      <c r="U256" s="2"/>
      <c r="V256" s="1"/>
    </row>
    <row r="257" spans="1:22" ht="20.100000000000001" customHeight="1" x14ac:dyDescent="0.25">
      <c r="A257" s="2"/>
      <c r="B257" s="2"/>
      <c r="C257" s="2"/>
      <c r="D257" s="2"/>
      <c r="E257" s="2"/>
      <c r="F257" s="2"/>
      <c r="G257" s="2"/>
      <c r="H257" s="2"/>
      <c r="I257" s="2"/>
      <c r="J257" s="2"/>
      <c r="K257" s="2"/>
      <c r="L257" s="2"/>
      <c r="M257" s="2"/>
      <c r="N257" s="3"/>
      <c r="O257" s="3"/>
      <c r="P257" s="3"/>
      <c r="Q257" s="21"/>
      <c r="R257" s="5"/>
      <c r="S257" s="5"/>
      <c r="T257" s="5"/>
      <c r="U257" s="2"/>
      <c r="V257" s="1"/>
    </row>
    <row r="258" spans="1:22" ht="20.100000000000001" customHeight="1" x14ac:dyDescent="0.25">
      <c r="A258" s="2"/>
      <c r="B258" s="2"/>
      <c r="C258" s="2"/>
      <c r="D258" s="2"/>
      <c r="E258" s="2"/>
      <c r="F258" s="2"/>
      <c r="G258" s="2"/>
      <c r="H258" s="2"/>
      <c r="I258" s="2"/>
      <c r="J258" s="2"/>
      <c r="K258" s="2"/>
      <c r="L258" s="2"/>
      <c r="M258" s="2"/>
      <c r="N258" s="3"/>
      <c r="O258" s="3"/>
      <c r="P258" s="3"/>
      <c r="Q258" s="21"/>
      <c r="R258" s="5"/>
      <c r="S258" s="5"/>
      <c r="T258" s="5"/>
      <c r="U258" s="2"/>
      <c r="V258" s="1"/>
    </row>
    <row r="259" spans="1:22" ht="20.100000000000001" customHeight="1" x14ac:dyDescent="0.25">
      <c r="A259" s="2"/>
      <c r="B259" s="2"/>
      <c r="C259" s="2"/>
      <c r="D259" s="2"/>
      <c r="E259" s="2"/>
      <c r="F259" s="2"/>
      <c r="G259" s="2"/>
      <c r="H259" s="2"/>
      <c r="I259" s="2"/>
      <c r="J259" s="2"/>
      <c r="K259" s="2"/>
      <c r="L259" s="2"/>
      <c r="M259" s="2"/>
      <c r="N259" s="3"/>
      <c r="O259" s="3"/>
      <c r="P259" s="3"/>
      <c r="Q259" s="21"/>
      <c r="R259" s="5"/>
      <c r="S259" s="5"/>
      <c r="T259" s="5"/>
      <c r="U259" s="2"/>
      <c r="V259" s="1"/>
    </row>
    <row r="260" spans="1:22" ht="20.100000000000001" customHeight="1" x14ac:dyDescent="0.25">
      <c r="A260" s="2"/>
      <c r="B260" s="2"/>
      <c r="C260" s="2"/>
      <c r="D260" s="2"/>
      <c r="E260" s="2"/>
      <c r="F260" s="2"/>
      <c r="G260" s="2"/>
      <c r="H260" s="2"/>
      <c r="I260" s="2"/>
      <c r="J260" s="2"/>
      <c r="K260" s="2"/>
      <c r="L260" s="2"/>
      <c r="M260" s="2"/>
      <c r="N260" s="3"/>
      <c r="O260" s="3"/>
      <c r="P260" s="3"/>
      <c r="Q260" s="21"/>
      <c r="R260" s="5"/>
      <c r="S260" s="5"/>
      <c r="T260" s="5"/>
      <c r="U260" s="2"/>
      <c r="V260" s="1"/>
    </row>
    <row r="261" spans="1:22" ht="20.100000000000001" customHeight="1" x14ac:dyDescent="0.25">
      <c r="A261" s="2"/>
      <c r="B261" s="2"/>
      <c r="C261" s="2"/>
      <c r="D261" s="2"/>
      <c r="E261" s="2"/>
      <c r="F261" s="2"/>
      <c r="G261" s="2"/>
      <c r="H261" s="2"/>
      <c r="I261" s="2"/>
      <c r="J261" s="2"/>
      <c r="K261" s="2"/>
      <c r="L261" s="2"/>
      <c r="M261" s="2"/>
      <c r="N261" s="3"/>
      <c r="O261" s="3"/>
      <c r="P261" s="3"/>
      <c r="Q261" s="21"/>
      <c r="R261" s="5"/>
      <c r="S261" s="5"/>
      <c r="T261" s="5"/>
      <c r="U261" s="2"/>
      <c r="V261" s="1"/>
    </row>
    <row r="262" spans="1:22" ht="20.100000000000001" customHeight="1" x14ac:dyDescent="0.25">
      <c r="A262" s="2"/>
      <c r="B262" s="2"/>
      <c r="C262" s="2"/>
      <c r="D262" s="2"/>
      <c r="E262" s="2"/>
      <c r="F262" s="2"/>
      <c r="G262" s="2"/>
      <c r="H262" s="2"/>
      <c r="I262" s="2"/>
      <c r="J262" s="2"/>
      <c r="K262" s="2"/>
      <c r="L262" s="2"/>
      <c r="M262" s="2"/>
      <c r="N262" s="3"/>
      <c r="O262" s="3"/>
      <c r="P262" s="3"/>
      <c r="Q262" s="21"/>
      <c r="R262" s="5"/>
      <c r="S262" s="5"/>
      <c r="T262" s="5"/>
      <c r="U262" s="2"/>
      <c r="V262" s="1"/>
    </row>
    <row r="263" spans="1:22" ht="20.100000000000001" customHeight="1" x14ac:dyDescent="0.25">
      <c r="A263" s="2"/>
      <c r="B263" s="2"/>
      <c r="C263" s="2"/>
      <c r="D263" s="2"/>
      <c r="E263" s="2"/>
      <c r="F263" s="2"/>
      <c r="G263" s="2"/>
      <c r="H263" s="2"/>
      <c r="I263" s="2"/>
      <c r="J263" s="2"/>
      <c r="K263" s="2"/>
      <c r="L263" s="2"/>
      <c r="M263" s="2"/>
      <c r="N263" s="3"/>
      <c r="O263" s="3"/>
      <c r="P263" s="3"/>
      <c r="Q263" s="21"/>
      <c r="R263" s="5"/>
      <c r="S263" s="5"/>
      <c r="T263" s="5"/>
      <c r="U263" s="2"/>
      <c r="V263" s="1"/>
    </row>
    <row r="264" spans="1:22" ht="20.100000000000001" customHeight="1" x14ac:dyDescent="0.25">
      <c r="A264" s="2"/>
      <c r="B264" s="2"/>
      <c r="C264" s="2"/>
      <c r="D264" s="2"/>
      <c r="E264" s="2"/>
      <c r="F264" s="2"/>
      <c r="G264" s="2"/>
      <c r="H264" s="2"/>
      <c r="I264" s="2"/>
      <c r="J264" s="2"/>
      <c r="K264" s="2"/>
      <c r="L264" s="2"/>
      <c r="M264" s="2"/>
      <c r="N264" s="3"/>
      <c r="O264" s="3"/>
      <c r="P264" s="3"/>
      <c r="Q264" s="21"/>
      <c r="R264" s="5"/>
      <c r="S264" s="5"/>
      <c r="T264" s="5"/>
      <c r="U264" s="2"/>
      <c r="V264" s="1"/>
    </row>
    <row r="265" spans="1:22" ht="20.100000000000001" customHeight="1" x14ac:dyDescent="0.25">
      <c r="A265" s="2"/>
      <c r="B265" s="2"/>
      <c r="C265" s="2"/>
      <c r="D265" s="2"/>
      <c r="E265" s="2"/>
      <c r="F265" s="2"/>
      <c r="G265" s="2"/>
      <c r="H265" s="2"/>
      <c r="I265" s="2"/>
      <c r="J265" s="2"/>
      <c r="K265" s="2"/>
      <c r="L265" s="2"/>
      <c r="M265" s="2"/>
      <c r="N265" s="3"/>
      <c r="O265" s="3"/>
      <c r="P265" s="3"/>
      <c r="Q265" s="21"/>
      <c r="R265" s="5"/>
      <c r="S265" s="5"/>
      <c r="T265" s="5"/>
      <c r="U265" s="2"/>
      <c r="V265" s="1"/>
    </row>
    <row r="266" spans="1:22" ht="20.100000000000001" customHeight="1" x14ac:dyDescent="0.25">
      <c r="A266" s="2"/>
      <c r="B266" s="2"/>
      <c r="C266" s="2"/>
      <c r="D266" s="2"/>
      <c r="E266" s="2"/>
      <c r="F266" s="2"/>
      <c r="G266" s="2"/>
      <c r="H266" s="2"/>
      <c r="I266" s="2"/>
      <c r="J266" s="2"/>
      <c r="K266" s="2"/>
      <c r="L266" s="2"/>
      <c r="M266" s="2"/>
      <c r="N266" s="3"/>
      <c r="O266" s="3"/>
      <c r="P266" s="3"/>
      <c r="Q266" s="21"/>
      <c r="R266" s="5"/>
      <c r="S266" s="5"/>
      <c r="T266" s="5"/>
      <c r="U266" s="2"/>
      <c r="V266" s="1"/>
    </row>
    <row r="267" spans="1:22" ht="20.100000000000001" customHeight="1" x14ac:dyDescent="0.25">
      <c r="A267" s="2"/>
      <c r="B267" s="2"/>
      <c r="C267" s="2"/>
      <c r="D267" s="2"/>
      <c r="E267" s="2"/>
      <c r="F267" s="2"/>
      <c r="G267" s="2"/>
      <c r="H267" s="2"/>
      <c r="I267" s="2"/>
      <c r="J267" s="2"/>
      <c r="K267" s="2"/>
      <c r="L267" s="2"/>
      <c r="M267" s="2"/>
      <c r="N267" s="3"/>
      <c r="O267" s="3"/>
      <c r="P267" s="3"/>
      <c r="Q267" s="21"/>
      <c r="R267" s="5"/>
      <c r="S267" s="5"/>
      <c r="T267" s="5"/>
      <c r="U267" s="2"/>
      <c r="V267" s="1"/>
    </row>
    <row r="268" spans="1:22" ht="20.100000000000001" customHeight="1" x14ac:dyDescent="0.25">
      <c r="A268" s="2"/>
      <c r="B268" s="2"/>
      <c r="C268" s="2"/>
      <c r="D268" s="2"/>
      <c r="E268" s="2"/>
      <c r="F268" s="2"/>
      <c r="G268" s="2"/>
      <c r="H268" s="2"/>
      <c r="I268" s="2"/>
      <c r="J268" s="2"/>
      <c r="K268" s="2"/>
      <c r="L268" s="2"/>
      <c r="M268" s="2"/>
      <c r="N268" s="3"/>
      <c r="O268" s="3"/>
      <c r="P268" s="3"/>
      <c r="Q268" s="21"/>
      <c r="R268" s="5"/>
      <c r="S268" s="5"/>
      <c r="T268" s="5"/>
      <c r="U268" s="2"/>
      <c r="V268" s="1"/>
    </row>
    <row r="269" spans="1:22" ht="20.100000000000001" customHeight="1" x14ac:dyDescent="0.25">
      <c r="A269" s="2"/>
      <c r="B269" s="2"/>
      <c r="C269" s="2"/>
      <c r="D269" s="2"/>
      <c r="E269" s="2"/>
      <c r="F269" s="2"/>
      <c r="G269" s="2"/>
      <c r="H269" s="2"/>
      <c r="I269" s="2"/>
      <c r="J269" s="2"/>
      <c r="K269" s="2"/>
      <c r="L269" s="2"/>
      <c r="M269" s="2"/>
      <c r="N269" s="3"/>
      <c r="O269" s="3"/>
      <c r="P269" s="3"/>
      <c r="Q269" s="21"/>
      <c r="R269" s="5"/>
      <c r="S269" s="5"/>
      <c r="T269" s="5"/>
      <c r="U269" s="2"/>
      <c r="V269" s="1"/>
    </row>
    <row r="270" spans="1:22" ht="20.100000000000001" customHeight="1" x14ac:dyDescent="0.25">
      <c r="A270" s="2"/>
      <c r="B270" s="2"/>
      <c r="C270" s="2"/>
      <c r="D270" s="2"/>
      <c r="E270" s="2"/>
      <c r="F270" s="2"/>
      <c r="G270" s="2"/>
      <c r="H270" s="2"/>
      <c r="I270" s="2"/>
      <c r="J270" s="2"/>
      <c r="K270" s="2"/>
      <c r="L270" s="2"/>
      <c r="M270" s="2"/>
      <c r="N270" s="3"/>
      <c r="O270" s="3"/>
      <c r="P270" s="3"/>
      <c r="Q270" s="21"/>
      <c r="R270" s="5"/>
      <c r="S270" s="5"/>
      <c r="T270" s="5"/>
      <c r="U270" s="2"/>
      <c r="V270" s="1"/>
    </row>
    <row r="271" spans="1:22" ht="20.100000000000001" customHeight="1" x14ac:dyDescent="0.25">
      <c r="A271" s="2"/>
      <c r="B271" s="2"/>
      <c r="C271" s="2"/>
      <c r="D271" s="2"/>
      <c r="E271" s="2"/>
      <c r="F271" s="2"/>
      <c r="G271" s="2"/>
      <c r="H271" s="2"/>
      <c r="I271" s="2"/>
      <c r="J271" s="2"/>
      <c r="K271" s="2"/>
      <c r="L271" s="2"/>
      <c r="M271" s="2"/>
      <c r="N271" s="3"/>
      <c r="O271" s="3"/>
      <c r="P271" s="3"/>
      <c r="Q271" s="21"/>
      <c r="R271" s="5"/>
      <c r="S271" s="5"/>
      <c r="T271" s="5"/>
      <c r="U271" s="2"/>
      <c r="V271" s="1"/>
    </row>
    <row r="272" spans="1:22" ht="20.100000000000001" customHeight="1" x14ac:dyDescent="0.25">
      <c r="A272" s="2"/>
      <c r="B272" s="2"/>
      <c r="C272" s="2"/>
      <c r="D272" s="2"/>
      <c r="E272" s="2"/>
      <c r="F272" s="2"/>
      <c r="G272" s="2"/>
      <c r="H272" s="2"/>
      <c r="I272" s="2"/>
      <c r="J272" s="2"/>
      <c r="K272" s="2"/>
      <c r="L272" s="2"/>
      <c r="M272" s="2"/>
      <c r="N272" s="3"/>
      <c r="O272" s="3"/>
      <c r="P272" s="3"/>
      <c r="Q272" s="21"/>
      <c r="R272" s="5"/>
      <c r="S272" s="5"/>
      <c r="T272" s="5"/>
      <c r="U272" s="2"/>
      <c r="V272" s="1"/>
    </row>
    <row r="273" spans="1:22" ht="20.100000000000001" customHeight="1" x14ac:dyDescent="0.25">
      <c r="A273" s="2"/>
      <c r="B273" s="2"/>
      <c r="C273" s="2"/>
      <c r="D273" s="2"/>
      <c r="E273" s="2"/>
      <c r="F273" s="2"/>
      <c r="G273" s="2"/>
      <c r="H273" s="2"/>
      <c r="I273" s="2"/>
      <c r="J273" s="2"/>
      <c r="K273" s="2"/>
      <c r="L273" s="2"/>
      <c r="M273" s="2"/>
      <c r="N273" s="3"/>
      <c r="O273" s="3"/>
      <c r="P273" s="3"/>
      <c r="Q273" s="21"/>
      <c r="R273" s="5"/>
      <c r="S273" s="5"/>
      <c r="T273" s="5"/>
      <c r="U273" s="2"/>
      <c r="V273" s="1"/>
    </row>
    <row r="274" spans="1:22" ht="20.100000000000001" customHeight="1" x14ac:dyDescent="0.25">
      <c r="A274" s="2"/>
      <c r="B274" s="2"/>
      <c r="C274" s="2"/>
      <c r="D274" s="2"/>
      <c r="E274" s="2"/>
      <c r="F274" s="2"/>
      <c r="G274" s="2"/>
      <c r="H274" s="2"/>
      <c r="I274" s="2"/>
      <c r="J274" s="2"/>
      <c r="K274" s="2"/>
      <c r="L274" s="2"/>
      <c r="M274" s="2"/>
      <c r="N274" s="3"/>
      <c r="O274" s="3"/>
      <c r="P274" s="3"/>
      <c r="Q274" s="21"/>
      <c r="R274" s="5"/>
      <c r="S274" s="5"/>
      <c r="T274" s="5"/>
      <c r="U274" s="2"/>
      <c r="V274" s="1"/>
    </row>
    <row r="275" spans="1:22" ht="20.100000000000001" customHeight="1" x14ac:dyDescent="0.25">
      <c r="A275" s="2"/>
      <c r="B275" s="2"/>
      <c r="C275" s="2"/>
      <c r="D275" s="2"/>
      <c r="E275" s="2"/>
      <c r="F275" s="2"/>
      <c r="G275" s="2"/>
      <c r="H275" s="2"/>
      <c r="I275" s="2"/>
      <c r="J275" s="2"/>
      <c r="K275" s="2"/>
      <c r="L275" s="2"/>
      <c r="M275" s="2"/>
      <c r="N275" s="3"/>
      <c r="O275" s="3"/>
      <c r="P275" s="3"/>
      <c r="Q275" s="21"/>
      <c r="R275" s="5"/>
      <c r="S275" s="5"/>
      <c r="T275" s="5"/>
      <c r="U275" s="2"/>
      <c r="V275" s="1"/>
    </row>
    <row r="276" spans="1:22" ht="20.100000000000001" customHeight="1" x14ac:dyDescent="0.25">
      <c r="A276" s="2"/>
      <c r="B276" s="2"/>
      <c r="C276" s="2"/>
      <c r="D276" s="2"/>
      <c r="E276" s="2"/>
      <c r="F276" s="2"/>
      <c r="G276" s="2"/>
      <c r="H276" s="2"/>
      <c r="I276" s="2"/>
      <c r="J276" s="2"/>
      <c r="K276" s="2"/>
      <c r="L276" s="2"/>
      <c r="M276" s="2"/>
      <c r="N276" s="3"/>
      <c r="O276" s="3"/>
      <c r="P276" s="3"/>
      <c r="Q276" s="21"/>
      <c r="R276" s="5"/>
      <c r="S276" s="5"/>
      <c r="T276" s="5"/>
      <c r="U276" s="2"/>
      <c r="V276" s="1"/>
    </row>
    <row r="277" spans="1:22" ht="20.100000000000001" customHeight="1" x14ac:dyDescent="0.25">
      <c r="A277" s="2"/>
      <c r="B277" s="2"/>
      <c r="C277" s="2"/>
      <c r="D277" s="2"/>
      <c r="E277" s="2"/>
      <c r="F277" s="2"/>
      <c r="G277" s="2"/>
      <c r="H277" s="2"/>
      <c r="I277" s="2"/>
      <c r="J277" s="2"/>
      <c r="K277" s="2"/>
      <c r="L277" s="2"/>
      <c r="M277" s="2"/>
      <c r="N277" s="3"/>
      <c r="O277" s="3"/>
      <c r="P277" s="3"/>
      <c r="Q277" s="21"/>
      <c r="R277" s="5"/>
      <c r="S277" s="5"/>
      <c r="T277" s="5"/>
      <c r="U277" s="2"/>
      <c r="V277" s="1"/>
    </row>
    <row r="278" spans="1:22" ht="20.100000000000001" customHeight="1" x14ac:dyDescent="0.25">
      <c r="A278" s="2"/>
      <c r="B278" s="2"/>
      <c r="C278" s="2"/>
      <c r="D278" s="2"/>
      <c r="E278" s="2"/>
      <c r="F278" s="2"/>
      <c r="G278" s="2"/>
      <c r="H278" s="2"/>
      <c r="I278" s="2"/>
      <c r="J278" s="2"/>
      <c r="K278" s="2"/>
      <c r="L278" s="2"/>
      <c r="M278" s="2"/>
      <c r="N278" s="3"/>
      <c r="O278" s="3"/>
      <c r="P278" s="3"/>
      <c r="Q278" s="21"/>
      <c r="R278" s="5"/>
      <c r="S278" s="5"/>
      <c r="T278" s="5"/>
      <c r="U278" s="2"/>
      <c r="V278" s="1"/>
    </row>
    <row r="279" spans="1:22" ht="20.100000000000001" customHeight="1" x14ac:dyDescent="0.25">
      <c r="A279" s="2"/>
      <c r="B279" s="2"/>
      <c r="C279" s="2"/>
      <c r="D279" s="2"/>
      <c r="E279" s="2"/>
      <c r="F279" s="2"/>
      <c r="G279" s="2"/>
      <c r="H279" s="2"/>
      <c r="I279" s="2"/>
      <c r="J279" s="2"/>
      <c r="K279" s="2"/>
      <c r="L279" s="2"/>
      <c r="M279" s="2"/>
      <c r="N279" s="3"/>
      <c r="O279" s="3"/>
      <c r="P279" s="3"/>
      <c r="Q279" s="21"/>
      <c r="R279" s="5"/>
      <c r="S279" s="5"/>
      <c r="T279" s="5"/>
      <c r="U279" s="2"/>
      <c r="V279" s="1"/>
    </row>
    <row r="280" spans="1:22" ht="20.100000000000001" customHeight="1" x14ac:dyDescent="0.25">
      <c r="A280" s="2"/>
      <c r="B280" s="2"/>
      <c r="C280" s="2"/>
      <c r="D280" s="2"/>
      <c r="E280" s="2"/>
      <c r="F280" s="2"/>
      <c r="G280" s="2"/>
      <c r="H280" s="2"/>
      <c r="I280" s="2"/>
      <c r="J280" s="2"/>
      <c r="K280" s="2"/>
      <c r="L280" s="2"/>
      <c r="M280" s="2"/>
      <c r="N280" s="3"/>
      <c r="O280" s="3"/>
      <c r="P280" s="3"/>
      <c r="Q280" s="21"/>
      <c r="R280" s="5"/>
      <c r="S280" s="5"/>
      <c r="T280" s="5"/>
      <c r="U280" s="2"/>
      <c r="V280" s="1"/>
    </row>
    <row r="281" spans="1:22" ht="20.100000000000001" customHeight="1" x14ac:dyDescent="0.25">
      <c r="A281" s="2"/>
      <c r="B281" s="2"/>
      <c r="C281" s="2"/>
      <c r="D281" s="2"/>
      <c r="E281" s="2"/>
      <c r="F281" s="2"/>
      <c r="G281" s="2"/>
      <c r="H281" s="2"/>
      <c r="I281" s="2"/>
      <c r="J281" s="2"/>
      <c r="K281" s="2"/>
      <c r="L281" s="2"/>
      <c r="M281" s="2"/>
      <c r="N281" s="3"/>
      <c r="O281" s="3"/>
      <c r="P281" s="3"/>
      <c r="Q281" s="21"/>
      <c r="R281" s="5"/>
      <c r="S281" s="5"/>
      <c r="T281" s="5"/>
      <c r="U281" s="2"/>
      <c r="V281" s="1"/>
    </row>
    <row r="282" spans="1:22" ht="20.100000000000001" customHeight="1" x14ac:dyDescent="0.25">
      <c r="A282" s="2"/>
      <c r="B282" s="2"/>
      <c r="C282" s="2"/>
      <c r="D282" s="2"/>
      <c r="E282" s="2"/>
      <c r="F282" s="2"/>
      <c r="G282" s="2"/>
      <c r="H282" s="2"/>
      <c r="I282" s="2"/>
      <c r="J282" s="2"/>
      <c r="K282" s="2"/>
      <c r="L282" s="2"/>
      <c r="M282" s="2"/>
      <c r="N282" s="3"/>
      <c r="O282" s="3"/>
      <c r="P282" s="3"/>
      <c r="Q282" s="21"/>
      <c r="R282" s="5"/>
      <c r="S282" s="5"/>
      <c r="T282" s="5"/>
      <c r="U282" s="2"/>
      <c r="V282" s="1"/>
    </row>
    <row r="283" spans="1:22" ht="20.100000000000001" customHeight="1" x14ac:dyDescent="0.25">
      <c r="A283" s="2"/>
      <c r="B283" s="2"/>
      <c r="C283" s="2"/>
      <c r="D283" s="2"/>
      <c r="E283" s="2"/>
      <c r="F283" s="2"/>
      <c r="G283" s="2"/>
      <c r="H283" s="2"/>
      <c r="I283" s="2"/>
      <c r="J283" s="2"/>
      <c r="K283" s="2"/>
      <c r="L283" s="2"/>
      <c r="M283" s="2"/>
      <c r="N283" s="3"/>
      <c r="O283" s="3"/>
      <c r="P283" s="3"/>
      <c r="Q283" s="21"/>
      <c r="R283" s="5"/>
      <c r="S283" s="5"/>
      <c r="T283" s="5"/>
      <c r="U283" s="2"/>
      <c r="V283" s="1"/>
    </row>
    <row r="284" spans="1:22" ht="20.100000000000001" customHeight="1" x14ac:dyDescent="0.25">
      <c r="A284" s="2"/>
      <c r="B284" s="2"/>
      <c r="C284" s="2"/>
      <c r="D284" s="2"/>
      <c r="E284" s="2"/>
      <c r="F284" s="2"/>
      <c r="G284" s="2"/>
      <c r="H284" s="2"/>
      <c r="I284" s="2"/>
      <c r="J284" s="2"/>
      <c r="K284" s="2"/>
      <c r="L284" s="2"/>
      <c r="M284" s="2"/>
      <c r="N284" s="3"/>
      <c r="O284" s="3"/>
      <c r="P284" s="3"/>
      <c r="Q284" s="21"/>
      <c r="R284" s="5"/>
      <c r="S284" s="5"/>
      <c r="T284" s="5"/>
      <c r="U284" s="2"/>
      <c r="V284" s="1"/>
    </row>
    <row r="285" spans="1:22" ht="20.100000000000001" customHeight="1" x14ac:dyDescent="0.25">
      <c r="A285" s="2"/>
      <c r="B285" s="2"/>
      <c r="C285" s="2"/>
      <c r="D285" s="2"/>
      <c r="E285" s="2"/>
      <c r="F285" s="2"/>
      <c r="G285" s="2"/>
      <c r="H285" s="2"/>
      <c r="I285" s="2"/>
      <c r="J285" s="2"/>
      <c r="K285" s="2"/>
      <c r="L285" s="2"/>
      <c r="M285" s="2"/>
      <c r="N285" s="3"/>
      <c r="O285" s="3"/>
      <c r="P285" s="3"/>
      <c r="Q285" s="21"/>
      <c r="R285" s="5"/>
      <c r="S285" s="5"/>
      <c r="T285" s="5"/>
      <c r="U285" s="2"/>
      <c r="V285" s="1"/>
    </row>
    <row r="286" spans="1:22" ht="20.100000000000001" customHeight="1" x14ac:dyDescent="0.25">
      <c r="A286" s="2"/>
      <c r="B286" s="2"/>
      <c r="C286" s="2"/>
      <c r="D286" s="2"/>
      <c r="E286" s="2"/>
      <c r="F286" s="2"/>
      <c r="G286" s="2"/>
      <c r="H286" s="2"/>
      <c r="I286" s="2"/>
      <c r="J286" s="2"/>
      <c r="K286" s="2"/>
      <c r="L286" s="2"/>
      <c r="M286" s="2"/>
      <c r="N286" s="3"/>
      <c r="O286" s="3"/>
      <c r="P286" s="3"/>
      <c r="Q286" s="21"/>
      <c r="R286" s="5"/>
      <c r="S286" s="5"/>
      <c r="T286" s="5"/>
      <c r="U286" s="2"/>
      <c r="V286" s="1"/>
    </row>
    <row r="287" spans="1:22" ht="20.100000000000001" customHeight="1" x14ac:dyDescent="0.25">
      <c r="A287" s="2"/>
      <c r="B287" s="2"/>
      <c r="C287" s="2"/>
      <c r="D287" s="2"/>
      <c r="E287" s="2"/>
      <c r="F287" s="2"/>
      <c r="G287" s="2"/>
      <c r="H287" s="2"/>
      <c r="I287" s="2"/>
      <c r="J287" s="2"/>
      <c r="K287" s="2"/>
      <c r="L287" s="2"/>
      <c r="M287" s="2"/>
      <c r="N287" s="3"/>
      <c r="O287" s="3"/>
      <c r="P287" s="3"/>
      <c r="Q287" s="21"/>
      <c r="R287" s="5"/>
      <c r="S287" s="5"/>
      <c r="T287" s="5"/>
      <c r="U287" s="2"/>
      <c r="V287" s="1"/>
    </row>
    <row r="288" spans="1:22" ht="20.100000000000001" customHeight="1" x14ac:dyDescent="0.25">
      <c r="A288" s="2"/>
      <c r="B288" s="2"/>
      <c r="C288" s="2"/>
      <c r="D288" s="2"/>
      <c r="E288" s="2"/>
      <c r="F288" s="2"/>
      <c r="G288" s="2"/>
      <c r="H288" s="2"/>
      <c r="I288" s="2"/>
      <c r="J288" s="2"/>
      <c r="K288" s="2"/>
      <c r="L288" s="2"/>
      <c r="M288" s="2"/>
      <c r="N288" s="3"/>
      <c r="O288" s="3"/>
      <c r="P288" s="3"/>
      <c r="Q288" s="21"/>
      <c r="R288" s="5"/>
      <c r="S288" s="5"/>
      <c r="T288" s="5"/>
      <c r="U288" s="2"/>
      <c r="V288" s="1"/>
    </row>
    <row r="289" spans="1:22" ht="20.100000000000001" customHeight="1" x14ac:dyDescent="0.25">
      <c r="A289" s="2"/>
      <c r="B289" s="2"/>
      <c r="C289" s="2"/>
      <c r="D289" s="2"/>
      <c r="E289" s="2"/>
      <c r="F289" s="2"/>
      <c r="G289" s="2"/>
      <c r="H289" s="2"/>
      <c r="I289" s="2"/>
      <c r="J289" s="2"/>
      <c r="K289" s="2"/>
      <c r="L289" s="2"/>
      <c r="M289" s="2"/>
      <c r="N289" s="3"/>
      <c r="O289" s="3"/>
      <c r="P289" s="3"/>
      <c r="Q289" s="21"/>
      <c r="R289" s="5"/>
      <c r="S289" s="5"/>
      <c r="T289" s="5"/>
      <c r="U289" s="2"/>
      <c r="V289" s="1"/>
    </row>
    <row r="290" spans="1:22" ht="20.100000000000001" customHeight="1" x14ac:dyDescent="0.25">
      <c r="A290" s="2"/>
      <c r="B290" s="2"/>
      <c r="C290" s="2"/>
      <c r="D290" s="2"/>
      <c r="E290" s="2"/>
      <c r="F290" s="2"/>
      <c r="G290" s="2"/>
      <c r="H290" s="2"/>
      <c r="I290" s="2"/>
      <c r="J290" s="2"/>
      <c r="K290" s="2"/>
      <c r="L290" s="2"/>
      <c r="M290" s="2"/>
      <c r="N290" s="3"/>
      <c r="O290" s="3"/>
      <c r="P290" s="3"/>
      <c r="Q290" s="21"/>
      <c r="R290" s="5"/>
      <c r="S290" s="5"/>
      <c r="T290" s="5"/>
      <c r="U290" s="2"/>
      <c r="V290" s="1"/>
    </row>
    <row r="291" spans="1:22" ht="20.100000000000001" customHeight="1" x14ac:dyDescent="0.25">
      <c r="A291" s="2"/>
      <c r="B291" s="2"/>
      <c r="C291" s="2"/>
      <c r="D291" s="2"/>
      <c r="E291" s="2"/>
      <c r="F291" s="2"/>
      <c r="G291" s="2"/>
      <c r="H291" s="2"/>
      <c r="I291" s="2"/>
      <c r="J291" s="2"/>
      <c r="K291" s="2"/>
      <c r="L291" s="2"/>
      <c r="M291" s="2"/>
      <c r="N291" s="3"/>
      <c r="O291" s="3"/>
      <c r="P291" s="3"/>
      <c r="Q291" s="21"/>
      <c r="R291" s="5"/>
      <c r="S291" s="5"/>
      <c r="T291" s="5"/>
      <c r="U291" s="2"/>
      <c r="V291" s="1"/>
    </row>
    <row r="292" spans="1:22" ht="20.100000000000001" customHeight="1" x14ac:dyDescent="0.25">
      <c r="A292" s="2"/>
      <c r="B292" s="2"/>
      <c r="C292" s="2"/>
      <c r="D292" s="2"/>
      <c r="E292" s="2"/>
      <c r="F292" s="2"/>
      <c r="G292" s="2"/>
      <c r="H292" s="2"/>
      <c r="I292" s="2"/>
      <c r="J292" s="2"/>
      <c r="K292" s="2"/>
      <c r="L292" s="2"/>
      <c r="M292" s="2"/>
      <c r="N292" s="3"/>
      <c r="O292" s="3"/>
      <c r="P292" s="3"/>
      <c r="Q292" s="21"/>
      <c r="R292" s="5"/>
      <c r="S292" s="5"/>
      <c r="T292" s="5"/>
      <c r="U292" s="2"/>
      <c r="V292" s="1"/>
    </row>
    <row r="293" spans="1:22" ht="20.100000000000001" customHeight="1" x14ac:dyDescent="0.25">
      <c r="A293" s="2"/>
      <c r="B293" s="2"/>
      <c r="C293" s="2"/>
      <c r="D293" s="2"/>
      <c r="E293" s="2"/>
      <c r="F293" s="2"/>
      <c r="G293" s="2"/>
      <c r="H293" s="2"/>
      <c r="I293" s="2"/>
      <c r="J293" s="2"/>
      <c r="K293" s="2"/>
      <c r="L293" s="2"/>
      <c r="M293" s="2"/>
      <c r="N293" s="3"/>
      <c r="O293" s="3"/>
      <c r="P293" s="3"/>
      <c r="Q293" s="21"/>
      <c r="R293" s="5"/>
      <c r="S293" s="5"/>
      <c r="T293" s="5"/>
      <c r="U293" s="2"/>
      <c r="V293" s="1"/>
    </row>
    <row r="294" spans="1:22" ht="20.100000000000001" customHeight="1" x14ac:dyDescent="0.25">
      <c r="V294" s="1"/>
    </row>
    <row r="295" spans="1:22" ht="20.100000000000001" customHeight="1" x14ac:dyDescent="0.25">
      <c r="V295" s="1"/>
    </row>
    <row r="296" spans="1:22" ht="20.100000000000001" customHeight="1" x14ac:dyDescent="0.25">
      <c r="V296" s="1"/>
    </row>
    <row r="297" spans="1:22" ht="20.100000000000001" customHeight="1" x14ac:dyDescent="0.25">
      <c r="V297" s="1"/>
    </row>
    <row r="298" spans="1:22" ht="20.100000000000001" customHeight="1" x14ac:dyDescent="0.25">
      <c r="V298" s="1"/>
    </row>
    <row r="299" spans="1:22" ht="20.100000000000001" customHeight="1" x14ac:dyDescent="0.25">
      <c r="V299" s="1"/>
    </row>
    <row r="300" spans="1:22" ht="20.100000000000001" customHeight="1" x14ac:dyDescent="0.25">
      <c r="V300" s="1"/>
    </row>
    <row r="301" spans="1:22" ht="20.100000000000001" customHeight="1" x14ac:dyDescent="0.25">
      <c r="V301" s="1"/>
    </row>
    <row r="302" spans="1:22" ht="20.100000000000001" customHeight="1" x14ac:dyDescent="0.25">
      <c r="V302" s="1"/>
    </row>
    <row r="303" spans="1:22" ht="20.100000000000001" customHeight="1" x14ac:dyDescent="0.25">
      <c r="V303" s="1"/>
    </row>
    <row r="304" spans="1:22" ht="20.100000000000001" customHeight="1" x14ac:dyDescent="0.25">
      <c r="V304" s="1"/>
    </row>
    <row r="305" spans="22:22" ht="20.100000000000001" customHeight="1" x14ac:dyDescent="0.25">
      <c r="V305" s="1"/>
    </row>
    <row r="306" spans="22:22" ht="20.100000000000001" customHeight="1" x14ac:dyDescent="0.25">
      <c r="V306" s="1"/>
    </row>
    <row r="307" spans="22:22" ht="20.100000000000001" customHeight="1" x14ac:dyDescent="0.25">
      <c r="V307" s="1"/>
    </row>
    <row r="308" spans="22:22" ht="20.100000000000001" customHeight="1" x14ac:dyDescent="0.25">
      <c r="V308" s="1"/>
    </row>
    <row r="309" spans="22:22" ht="20.100000000000001" customHeight="1" x14ac:dyDescent="0.25">
      <c r="V309" s="1"/>
    </row>
    <row r="310" spans="22:22" ht="20.100000000000001" customHeight="1" x14ac:dyDescent="0.25">
      <c r="V310" s="1"/>
    </row>
    <row r="311" spans="22:22" ht="20.100000000000001" customHeight="1" x14ac:dyDescent="0.25">
      <c r="V311" s="1"/>
    </row>
    <row r="312" spans="22:22" ht="20.100000000000001" customHeight="1" x14ac:dyDescent="0.25">
      <c r="V312" s="1"/>
    </row>
    <row r="313" spans="22:22" ht="20.100000000000001" customHeight="1" x14ac:dyDescent="0.25">
      <c r="V313" s="1"/>
    </row>
    <row r="314" spans="22:22" ht="20.100000000000001" customHeight="1" x14ac:dyDescent="0.25">
      <c r="V314" s="1"/>
    </row>
    <row r="315" spans="22:22" ht="20.100000000000001" customHeight="1" x14ac:dyDescent="0.25">
      <c r="V315" s="1"/>
    </row>
    <row r="316" spans="22:22" ht="20.100000000000001" customHeight="1" x14ac:dyDescent="0.25">
      <c r="V316" s="1"/>
    </row>
    <row r="317" spans="22:22" ht="20.100000000000001" customHeight="1" x14ac:dyDescent="0.25">
      <c r="V317" s="1"/>
    </row>
    <row r="318" spans="22:22" ht="20.100000000000001" customHeight="1" x14ac:dyDescent="0.25">
      <c r="V318" s="1"/>
    </row>
    <row r="319" spans="22:22" ht="20.100000000000001" customHeight="1" x14ac:dyDescent="0.25">
      <c r="V319" s="1"/>
    </row>
    <row r="320" spans="22:22" ht="20.100000000000001" customHeight="1" x14ac:dyDescent="0.25">
      <c r="V320" s="1"/>
    </row>
    <row r="321" spans="22:22" ht="20.100000000000001" customHeight="1" x14ac:dyDescent="0.25">
      <c r="V321" s="1"/>
    </row>
    <row r="322" spans="22:22" ht="20.100000000000001" customHeight="1" x14ac:dyDescent="0.25">
      <c r="V322" s="1"/>
    </row>
    <row r="323" spans="22:22" ht="20.100000000000001" customHeight="1" x14ac:dyDescent="0.25">
      <c r="V323" s="1"/>
    </row>
    <row r="324" spans="22:22" ht="20.100000000000001" customHeight="1" x14ac:dyDescent="0.25">
      <c r="V324" s="1"/>
    </row>
    <row r="325" spans="22:22" ht="20.100000000000001" customHeight="1" x14ac:dyDescent="0.25">
      <c r="V325" s="1"/>
    </row>
    <row r="326" spans="22:22" ht="20.100000000000001" customHeight="1" x14ac:dyDescent="0.25">
      <c r="V326" s="1"/>
    </row>
    <row r="327" spans="22:22" ht="20.100000000000001" customHeight="1" x14ac:dyDescent="0.25">
      <c r="V327" s="1"/>
    </row>
    <row r="328" spans="22:22" ht="20.100000000000001" customHeight="1" x14ac:dyDescent="0.25">
      <c r="V328" s="1"/>
    </row>
    <row r="329" spans="22:22" ht="20.100000000000001" customHeight="1" x14ac:dyDescent="0.25">
      <c r="V329" s="1"/>
    </row>
    <row r="330" spans="22:22" ht="20.100000000000001" customHeight="1" x14ac:dyDescent="0.25">
      <c r="V330" s="1"/>
    </row>
    <row r="331" spans="22:22" ht="20.100000000000001" customHeight="1" x14ac:dyDescent="0.25">
      <c r="V331" s="1"/>
    </row>
    <row r="332" spans="22:22" ht="20.100000000000001" customHeight="1" x14ac:dyDescent="0.25">
      <c r="V332" s="1"/>
    </row>
    <row r="333" spans="22:22" ht="20.100000000000001" customHeight="1" x14ac:dyDescent="0.25">
      <c r="V333" s="1"/>
    </row>
    <row r="334" spans="22:22" ht="20.100000000000001" customHeight="1" x14ac:dyDescent="0.25">
      <c r="V334" s="1"/>
    </row>
    <row r="335" spans="22:22" ht="20.100000000000001" customHeight="1" x14ac:dyDescent="0.25">
      <c r="V335" s="1"/>
    </row>
    <row r="336" spans="22:22" ht="20.100000000000001" customHeight="1" x14ac:dyDescent="0.25">
      <c r="V336" s="1"/>
    </row>
    <row r="337" spans="22:22" ht="20.100000000000001" customHeight="1" x14ac:dyDescent="0.25">
      <c r="V337" s="1"/>
    </row>
    <row r="338" spans="22:22" ht="20.100000000000001" customHeight="1" x14ac:dyDescent="0.25">
      <c r="V338" s="1"/>
    </row>
    <row r="339" spans="22:22" ht="20.100000000000001" customHeight="1" x14ac:dyDescent="0.25">
      <c r="V339" s="1"/>
    </row>
    <row r="340" spans="22:22" ht="20.100000000000001" customHeight="1" x14ac:dyDescent="0.25">
      <c r="V340" s="1"/>
    </row>
    <row r="341" spans="22:22" ht="20.100000000000001" customHeight="1" x14ac:dyDescent="0.25">
      <c r="V341" s="1"/>
    </row>
    <row r="342" spans="22:22" ht="20.100000000000001" customHeight="1" x14ac:dyDescent="0.25">
      <c r="V342" s="1"/>
    </row>
    <row r="343" spans="22:22" ht="20.100000000000001" customHeight="1" x14ac:dyDescent="0.25">
      <c r="V343" s="1"/>
    </row>
    <row r="344" spans="22:22" ht="20.100000000000001" customHeight="1" x14ac:dyDescent="0.25">
      <c r="V344" s="1"/>
    </row>
    <row r="345" spans="22:22" ht="20.100000000000001" customHeight="1" x14ac:dyDescent="0.25">
      <c r="V345" s="1"/>
    </row>
    <row r="346" spans="22:22" ht="20.100000000000001" customHeight="1" x14ac:dyDescent="0.25">
      <c r="V346" s="1"/>
    </row>
    <row r="347" spans="22:22" ht="20.100000000000001" customHeight="1" x14ac:dyDescent="0.25">
      <c r="V347" s="1"/>
    </row>
    <row r="348" spans="22:22" ht="20.100000000000001" customHeight="1" x14ac:dyDescent="0.25">
      <c r="V348" s="1"/>
    </row>
    <row r="349" spans="22:22" ht="20.100000000000001" customHeight="1" x14ac:dyDescent="0.25">
      <c r="V349" s="1"/>
    </row>
    <row r="350" spans="22:22" ht="20.100000000000001" customHeight="1" x14ac:dyDescent="0.25">
      <c r="V350" s="1"/>
    </row>
    <row r="351" spans="22:22" ht="20.100000000000001" customHeight="1" x14ac:dyDescent="0.25">
      <c r="V351" s="1"/>
    </row>
    <row r="352" spans="22:22" ht="20.100000000000001" customHeight="1" x14ac:dyDescent="0.25">
      <c r="V352" s="1"/>
    </row>
    <row r="353" spans="22:22" ht="20.100000000000001" customHeight="1" x14ac:dyDescent="0.25">
      <c r="V353" s="1"/>
    </row>
    <row r="354" spans="22:22" ht="20.100000000000001" customHeight="1" x14ac:dyDescent="0.25">
      <c r="V354" s="1"/>
    </row>
    <row r="355" spans="22:22" ht="20.100000000000001" customHeight="1" x14ac:dyDescent="0.25">
      <c r="V355" s="1"/>
    </row>
    <row r="356" spans="22:22" ht="20.100000000000001" customHeight="1" x14ac:dyDescent="0.25">
      <c r="V356" s="1"/>
    </row>
    <row r="357" spans="22:22" ht="20.100000000000001" customHeight="1" x14ac:dyDescent="0.25">
      <c r="V357" s="1"/>
    </row>
    <row r="358" spans="22:22" ht="20.100000000000001" customHeight="1" x14ac:dyDescent="0.25">
      <c r="V358" s="1"/>
    </row>
    <row r="359" spans="22:22" ht="20.100000000000001" customHeight="1" x14ac:dyDescent="0.25">
      <c r="V359" s="1"/>
    </row>
    <row r="360" spans="22:22" ht="20.100000000000001" customHeight="1" x14ac:dyDescent="0.25">
      <c r="V360" s="1"/>
    </row>
    <row r="361" spans="22:22" ht="20.100000000000001" customHeight="1" x14ac:dyDescent="0.25">
      <c r="V361" s="1"/>
    </row>
    <row r="362" spans="22:22" ht="20.100000000000001" customHeight="1" x14ac:dyDescent="0.25">
      <c r="V362" s="1"/>
    </row>
    <row r="363" spans="22:22" ht="20.100000000000001" customHeight="1" x14ac:dyDescent="0.25">
      <c r="V363" s="1"/>
    </row>
    <row r="364" spans="22:22" ht="20.100000000000001" customHeight="1" x14ac:dyDescent="0.25">
      <c r="V364" s="1"/>
    </row>
    <row r="365" spans="22:22" ht="20.100000000000001" customHeight="1" x14ac:dyDescent="0.25">
      <c r="V365" s="1"/>
    </row>
    <row r="366" spans="22:22" ht="20.100000000000001" customHeight="1" x14ac:dyDescent="0.25">
      <c r="V366" s="1"/>
    </row>
    <row r="367" spans="22:22" ht="20.100000000000001" customHeight="1" x14ac:dyDescent="0.25">
      <c r="V367" s="1"/>
    </row>
    <row r="368" spans="22:22" ht="20.100000000000001" customHeight="1" x14ac:dyDescent="0.25">
      <c r="V368" s="1"/>
    </row>
    <row r="369" spans="22:22" ht="20.100000000000001" customHeight="1" x14ac:dyDescent="0.25">
      <c r="V369" s="1"/>
    </row>
    <row r="370" spans="22:22" ht="20.100000000000001" customHeight="1" x14ac:dyDescent="0.25">
      <c r="V370" s="1"/>
    </row>
    <row r="371" spans="22:22" ht="20.100000000000001" customHeight="1" x14ac:dyDescent="0.25">
      <c r="V371" s="1"/>
    </row>
    <row r="372" spans="22:22" ht="20.100000000000001" customHeight="1" x14ac:dyDescent="0.25">
      <c r="V372" s="1"/>
    </row>
    <row r="373" spans="22:22" ht="20.100000000000001" customHeight="1" x14ac:dyDescent="0.25">
      <c r="V373" s="1"/>
    </row>
    <row r="374" spans="22:22" ht="20.100000000000001" customHeight="1" x14ac:dyDescent="0.25">
      <c r="V374" s="1"/>
    </row>
    <row r="375" spans="22:22" ht="20.100000000000001" customHeight="1" x14ac:dyDescent="0.25">
      <c r="V375" s="1"/>
    </row>
    <row r="376" spans="22:22" ht="20.100000000000001" customHeight="1" x14ac:dyDescent="0.25">
      <c r="V376" s="1"/>
    </row>
    <row r="377" spans="22:22" ht="20.100000000000001" customHeight="1" x14ac:dyDescent="0.25">
      <c r="V377" s="1"/>
    </row>
    <row r="378" spans="22:22" ht="20.100000000000001" customHeight="1" x14ac:dyDescent="0.25">
      <c r="V378" s="1"/>
    </row>
    <row r="379" spans="22:22" ht="20.100000000000001" customHeight="1" x14ac:dyDescent="0.25">
      <c r="V379" s="1"/>
    </row>
    <row r="380" spans="22:22" ht="20.100000000000001" customHeight="1" x14ac:dyDescent="0.25">
      <c r="V380" s="1"/>
    </row>
    <row r="381" spans="22:22" ht="20.100000000000001" customHeight="1" x14ac:dyDescent="0.25">
      <c r="V381" s="1"/>
    </row>
    <row r="382" spans="22:22" ht="20.100000000000001" customHeight="1" x14ac:dyDescent="0.25">
      <c r="V382" s="1"/>
    </row>
    <row r="383" spans="22:22" ht="20.100000000000001" customHeight="1" x14ac:dyDescent="0.25">
      <c r="V383" s="1"/>
    </row>
    <row r="384" spans="22:22" ht="20.100000000000001" customHeight="1" x14ac:dyDescent="0.25">
      <c r="V384" s="1"/>
    </row>
    <row r="385" spans="22:22" ht="20.100000000000001" customHeight="1" x14ac:dyDescent="0.25">
      <c r="V385" s="1"/>
    </row>
    <row r="386" spans="22:22" ht="20.100000000000001" customHeight="1" x14ac:dyDescent="0.25">
      <c r="V386" s="1"/>
    </row>
    <row r="387" spans="22:22" ht="20.100000000000001" customHeight="1" x14ac:dyDescent="0.25">
      <c r="V387" s="1"/>
    </row>
    <row r="388" spans="22:22" ht="20.100000000000001" customHeight="1" x14ac:dyDescent="0.25">
      <c r="V388" s="1"/>
    </row>
    <row r="389" spans="22:22" ht="20.100000000000001" customHeight="1" x14ac:dyDescent="0.25">
      <c r="V389" s="1"/>
    </row>
    <row r="390" spans="22:22" ht="20.100000000000001" customHeight="1" x14ac:dyDescent="0.25">
      <c r="V390" s="1"/>
    </row>
    <row r="391" spans="22:22" ht="20.100000000000001" customHeight="1" x14ac:dyDescent="0.25">
      <c r="V391" s="1"/>
    </row>
    <row r="392" spans="22:22" ht="20.100000000000001" customHeight="1" x14ac:dyDescent="0.25">
      <c r="V392" s="1"/>
    </row>
    <row r="393" spans="22:22" ht="20.100000000000001" customHeight="1" x14ac:dyDescent="0.25">
      <c r="V393" s="1"/>
    </row>
    <row r="394" spans="22:22" ht="20.100000000000001" customHeight="1" x14ac:dyDescent="0.25">
      <c r="V394" s="1"/>
    </row>
    <row r="395" spans="22:22" ht="20.100000000000001" customHeight="1" x14ac:dyDescent="0.25">
      <c r="V395" s="1"/>
    </row>
    <row r="396" spans="22:22" ht="20.100000000000001" customHeight="1" x14ac:dyDescent="0.25">
      <c r="V396" s="1"/>
    </row>
    <row r="397" spans="22:22" ht="20.100000000000001" customHeight="1" x14ac:dyDescent="0.25">
      <c r="V397" s="1"/>
    </row>
    <row r="398" spans="22:22" ht="20.100000000000001" customHeight="1" x14ac:dyDescent="0.25">
      <c r="V398" s="1"/>
    </row>
    <row r="399" spans="22:22" ht="20.100000000000001" customHeight="1" x14ac:dyDescent="0.25">
      <c r="V399" s="1"/>
    </row>
    <row r="400" spans="22:22" ht="20.100000000000001" customHeight="1" x14ac:dyDescent="0.25">
      <c r="V400" s="1"/>
    </row>
    <row r="401" spans="22:22" ht="20.100000000000001" customHeight="1" x14ac:dyDescent="0.25">
      <c r="V401" s="1"/>
    </row>
    <row r="402" spans="22:22" ht="20.100000000000001" customHeight="1" x14ac:dyDescent="0.25">
      <c r="V402" s="1"/>
    </row>
    <row r="403" spans="22:22" ht="20.100000000000001" customHeight="1" x14ac:dyDescent="0.25">
      <c r="V403" s="1"/>
    </row>
    <row r="404" spans="22:22" ht="20.100000000000001" customHeight="1" x14ac:dyDescent="0.25">
      <c r="V404" s="1"/>
    </row>
    <row r="405" spans="22:22" ht="20.100000000000001" customHeight="1" x14ac:dyDescent="0.25">
      <c r="V405" s="1"/>
    </row>
    <row r="406" spans="22:22" ht="20.100000000000001" customHeight="1" x14ac:dyDescent="0.25">
      <c r="V406" s="1"/>
    </row>
    <row r="407" spans="22:22" ht="20.100000000000001" customHeight="1" x14ac:dyDescent="0.25">
      <c r="V407" s="1"/>
    </row>
    <row r="408" spans="22:22" ht="20.100000000000001" customHeight="1" x14ac:dyDescent="0.25">
      <c r="V408" s="1"/>
    </row>
    <row r="409" spans="22:22" ht="20.100000000000001" customHeight="1" x14ac:dyDescent="0.25">
      <c r="V409" s="1"/>
    </row>
    <row r="410" spans="22:22" ht="20.100000000000001" customHeight="1" x14ac:dyDescent="0.25">
      <c r="V410" s="1"/>
    </row>
    <row r="411" spans="22:22" ht="20.100000000000001" customHeight="1" x14ac:dyDescent="0.25">
      <c r="V411" s="1"/>
    </row>
    <row r="412" spans="22:22" ht="20.100000000000001" customHeight="1" x14ac:dyDescent="0.25">
      <c r="V412" s="1"/>
    </row>
    <row r="413" spans="22:22" ht="20.100000000000001" customHeight="1" x14ac:dyDescent="0.25">
      <c r="V413" s="1"/>
    </row>
    <row r="414" spans="22:22" ht="20.100000000000001" customHeight="1" x14ac:dyDescent="0.25">
      <c r="V414" s="1"/>
    </row>
    <row r="415" spans="22:22" ht="20.100000000000001" customHeight="1" x14ac:dyDescent="0.25">
      <c r="V415" s="1"/>
    </row>
    <row r="416" spans="22:22" ht="20.100000000000001" customHeight="1" x14ac:dyDescent="0.25">
      <c r="V416" s="1"/>
    </row>
    <row r="417" spans="22:22" ht="20.100000000000001" customHeight="1" x14ac:dyDescent="0.25">
      <c r="V417" s="1"/>
    </row>
    <row r="418" spans="22:22" ht="20.100000000000001" customHeight="1" x14ac:dyDescent="0.25">
      <c r="V418" s="1"/>
    </row>
    <row r="419" spans="22:22" ht="20.100000000000001" customHeight="1" x14ac:dyDescent="0.25">
      <c r="V419" s="1"/>
    </row>
    <row r="420" spans="22:22" ht="20.100000000000001" customHeight="1" x14ac:dyDescent="0.25">
      <c r="V420" s="1"/>
    </row>
    <row r="421" spans="22:22" ht="20.100000000000001" customHeight="1" x14ac:dyDescent="0.25">
      <c r="V421" s="1"/>
    </row>
    <row r="422" spans="22:22" ht="20.100000000000001" customHeight="1" x14ac:dyDescent="0.25">
      <c r="V422" s="1"/>
    </row>
    <row r="423" spans="22:22" ht="20.100000000000001" customHeight="1" x14ac:dyDescent="0.25">
      <c r="V423" s="1"/>
    </row>
    <row r="424" spans="22:22" ht="20.100000000000001" customHeight="1" x14ac:dyDescent="0.25">
      <c r="V424" s="1"/>
    </row>
    <row r="425" spans="22:22" ht="20.100000000000001" customHeight="1" x14ac:dyDescent="0.25">
      <c r="V425" s="1"/>
    </row>
    <row r="426" spans="22:22" ht="20.100000000000001" customHeight="1" x14ac:dyDescent="0.25">
      <c r="V426" s="1"/>
    </row>
    <row r="427" spans="22:22" ht="20.100000000000001" customHeight="1" x14ac:dyDescent="0.25">
      <c r="V427" s="1"/>
    </row>
    <row r="428" spans="22:22" ht="20.100000000000001" customHeight="1" x14ac:dyDescent="0.25">
      <c r="V428" s="1"/>
    </row>
    <row r="429" spans="22:22" ht="20.100000000000001" customHeight="1" x14ac:dyDescent="0.25">
      <c r="V429" s="1"/>
    </row>
    <row r="430" spans="22:22" ht="20.100000000000001" customHeight="1" x14ac:dyDescent="0.25">
      <c r="V430" s="1"/>
    </row>
    <row r="431" spans="22:22" ht="20.100000000000001" customHeight="1" x14ac:dyDescent="0.25">
      <c r="V431" s="1"/>
    </row>
    <row r="432" spans="22:22" ht="20.100000000000001" customHeight="1" x14ac:dyDescent="0.25">
      <c r="V432" s="1"/>
    </row>
    <row r="433" spans="22:22" ht="20.100000000000001" customHeight="1" x14ac:dyDescent="0.25">
      <c r="V433" s="1"/>
    </row>
    <row r="434" spans="22:22" ht="20.100000000000001" customHeight="1" x14ac:dyDescent="0.25">
      <c r="V434" s="1"/>
    </row>
    <row r="435" spans="22:22" ht="20.100000000000001" customHeight="1" x14ac:dyDescent="0.25">
      <c r="V435" s="1"/>
    </row>
    <row r="436" spans="22:22" ht="20.100000000000001" customHeight="1" x14ac:dyDescent="0.25">
      <c r="V436" s="1"/>
    </row>
    <row r="437" spans="22:22" ht="20.100000000000001" customHeight="1" x14ac:dyDescent="0.25">
      <c r="V437" s="1"/>
    </row>
    <row r="438" spans="22:22" ht="20.100000000000001" customHeight="1" x14ac:dyDescent="0.25">
      <c r="V438" s="1"/>
    </row>
    <row r="439" spans="22:22" ht="20.100000000000001" customHeight="1" x14ac:dyDescent="0.25">
      <c r="V439" s="1"/>
    </row>
    <row r="440" spans="22:22" ht="20.100000000000001" customHeight="1" x14ac:dyDescent="0.25">
      <c r="V440" s="1"/>
    </row>
    <row r="441" spans="22:22" ht="20.100000000000001" customHeight="1" x14ac:dyDescent="0.25">
      <c r="V441" s="1"/>
    </row>
    <row r="442" spans="22:22" ht="20.100000000000001" customHeight="1" x14ac:dyDescent="0.25">
      <c r="V442" s="1"/>
    </row>
    <row r="443" spans="22:22" ht="20.100000000000001" customHeight="1" x14ac:dyDescent="0.25">
      <c r="V443" s="1"/>
    </row>
    <row r="444" spans="22:22" ht="20.100000000000001" customHeight="1" x14ac:dyDescent="0.25">
      <c r="V444" s="1"/>
    </row>
    <row r="445" spans="22:22" ht="20.100000000000001" customHeight="1" x14ac:dyDescent="0.25">
      <c r="V445" s="1"/>
    </row>
    <row r="446" spans="22:22" ht="20.100000000000001" customHeight="1" x14ac:dyDescent="0.25">
      <c r="V446" s="1"/>
    </row>
    <row r="447" spans="22:22" ht="20.100000000000001" customHeight="1" x14ac:dyDescent="0.25">
      <c r="V447" s="1"/>
    </row>
    <row r="448" spans="22:22" ht="20.100000000000001" customHeight="1" x14ac:dyDescent="0.25">
      <c r="V448" s="1"/>
    </row>
    <row r="449" spans="22:22" ht="20.100000000000001" customHeight="1" x14ac:dyDescent="0.25">
      <c r="V449" s="1"/>
    </row>
    <row r="450" spans="22:22" ht="20.100000000000001" customHeight="1" x14ac:dyDescent="0.25">
      <c r="V450" s="1"/>
    </row>
    <row r="451" spans="22:22" ht="20.100000000000001" customHeight="1" x14ac:dyDescent="0.25">
      <c r="V451" s="1"/>
    </row>
    <row r="452" spans="22:22" ht="20.100000000000001" customHeight="1" x14ac:dyDescent="0.25">
      <c r="V452" s="1"/>
    </row>
    <row r="453" spans="22:22" ht="20.100000000000001" customHeight="1" x14ac:dyDescent="0.25">
      <c r="V453" s="1"/>
    </row>
    <row r="454" spans="22:22" ht="20.100000000000001" customHeight="1" x14ac:dyDescent="0.25">
      <c r="V454" s="1"/>
    </row>
    <row r="455" spans="22:22" ht="20.100000000000001" customHeight="1" x14ac:dyDescent="0.25">
      <c r="V455" s="1"/>
    </row>
    <row r="456" spans="22:22" ht="20.100000000000001" customHeight="1" x14ac:dyDescent="0.25">
      <c r="V456" s="1"/>
    </row>
    <row r="457" spans="22:22" ht="20.100000000000001" customHeight="1" x14ac:dyDescent="0.25">
      <c r="V457" s="1"/>
    </row>
    <row r="458" spans="22:22" ht="20.100000000000001" customHeight="1" x14ac:dyDescent="0.25">
      <c r="V458" s="1"/>
    </row>
    <row r="459" spans="22:22" ht="20.100000000000001" customHeight="1" x14ac:dyDescent="0.25">
      <c r="V459" s="1"/>
    </row>
    <row r="460" spans="22:22" ht="20.100000000000001" customHeight="1" x14ac:dyDescent="0.25">
      <c r="V460" s="1"/>
    </row>
    <row r="461" spans="22:22" ht="20.100000000000001" customHeight="1" x14ac:dyDescent="0.25">
      <c r="V461" s="1"/>
    </row>
    <row r="462" spans="22:22" ht="20.100000000000001" customHeight="1" x14ac:dyDescent="0.25">
      <c r="V462" s="1"/>
    </row>
    <row r="463" spans="22:22" ht="20.100000000000001" customHeight="1" x14ac:dyDescent="0.25">
      <c r="V463" s="1"/>
    </row>
    <row r="464" spans="22:22" ht="20.100000000000001" customHeight="1" x14ac:dyDescent="0.25">
      <c r="V464" s="1"/>
    </row>
    <row r="465" spans="22:22" ht="20.100000000000001" customHeight="1" x14ac:dyDescent="0.25">
      <c r="V465" s="1"/>
    </row>
    <row r="466" spans="22:22" ht="20.100000000000001" customHeight="1" x14ac:dyDescent="0.25">
      <c r="V466" s="1"/>
    </row>
    <row r="467" spans="22:22" ht="20.100000000000001" customHeight="1" x14ac:dyDescent="0.25">
      <c r="V467" s="1"/>
    </row>
    <row r="468" spans="22:22" ht="20.100000000000001" customHeight="1" x14ac:dyDescent="0.25">
      <c r="V468" s="1"/>
    </row>
    <row r="469" spans="22:22" ht="20.100000000000001" customHeight="1" x14ac:dyDescent="0.25">
      <c r="V469" s="1"/>
    </row>
    <row r="470" spans="22:22" ht="20.100000000000001" customHeight="1" x14ac:dyDescent="0.25">
      <c r="V470" s="1"/>
    </row>
    <row r="471" spans="22:22" ht="20.100000000000001" customHeight="1" x14ac:dyDescent="0.25">
      <c r="V471" s="1"/>
    </row>
    <row r="472" spans="22:22" ht="20.100000000000001" customHeight="1" x14ac:dyDescent="0.25">
      <c r="V472" s="1"/>
    </row>
    <row r="473" spans="22:22" ht="20.100000000000001" customHeight="1" x14ac:dyDescent="0.25">
      <c r="V473" s="1"/>
    </row>
    <row r="474" spans="22:22" ht="20.100000000000001" customHeight="1" x14ac:dyDescent="0.25">
      <c r="V474" s="1"/>
    </row>
    <row r="475" spans="22:22" ht="20.100000000000001" customHeight="1" x14ac:dyDescent="0.25">
      <c r="V475" s="1"/>
    </row>
    <row r="476" spans="22:22" ht="20.100000000000001" customHeight="1" x14ac:dyDescent="0.25">
      <c r="V476" s="1"/>
    </row>
    <row r="477" spans="22:22" ht="20.100000000000001" customHeight="1" x14ac:dyDescent="0.25">
      <c r="V477" s="1"/>
    </row>
    <row r="478" spans="22:22" ht="20.100000000000001" customHeight="1" x14ac:dyDescent="0.25">
      <c r="V478" s="1"/>
    </row>
    <row r="479" spans="22:22" ht="20.100000000000001" customHeight="1" x14ac:dyDescent="0.25">
      <c r="V479" s="1"/>
    </row>
    <row r="480" spans="22:22" ht="20.100000000000001" customHeight="1" x14ac:dyDescent="0.25">
      <c r="V480" s="1"/>
    </row>
    <row r="481" spans="22:22" ht="20.100000000000001" customHeight="1" x14ac:dyDescent="0.25">
      <c r="V481" s="1"/>
    </row>
    <row r="482" spans="22:22" ht="20.100000000000001" customHeight="1" x14ac:dyDescent="0.25">
      <c r="V482" s="1"/>
    </row>
    <row r="483" spans="22:22" ht="20.100000000000001" customHeight="1" x14ac:dyDescent="0.25">
      <c r="V483" s="1"/>
    </row>
    <row r="484" spans="22:22" ht="20.100000000000001" customHeight="1" x14ac:dyDescent="0.25">
      <c r="V484" s="1"/>
    </row>
    <row r="485" spans="22:22" ht="20.100000000000001" customHeight="1" x14ac:dyDescent="0.25">
      <c r="V485" s="1"/>
    </row>
    <row r="486" spans="22:22" ht="20.100000000000001" customHeight="1" x14ac:dyDescent="0.25">
      <c r="V486" s="1"/>
    </row>
    <row r="487" spans="22:22" ht="20.100000000000001" customHeight="1" x14ac:dyDescent="0.25">
      <c r="V487" s="1"/>
    </row>
    <row r="488" spans="22:22" ht="20.100000000000001" customHeight="1" x14ac:dyDescent="0.25">
      <c r="V488" s="1"/>
    </row>
    <row r="489" spans="22:22" ht="20.100000000000001" customHeight="1" x14ac:dyDescent="0.25">
      <c r="V489" s="1"/>
    </row>
    <row r="490" spans="22:22" ht="20.100000000000001" customHeight="1" x14ac:dyDescent="0.25">
      <c r="V490" s="1"/>
    </row>
    <row r="491" spans="22:22" ht="20.100000000000001" customHeight="1" x14ac:dyDescent="0.25">
      <c r="V491" s="1"/>
    </row>
    <row r="492" spans="22:22" ht="20.100000000000001" customHeight="1" x14ac:dyDescent="0.25">
      <c r="V492" s="1"/>
    </row>
    <row r="493" spans="22:22" ht="20.100000000000001" customHeight="1" x14ac:dyDescent="0.25">
      <c r="V493" s="1"/>
    </row>
    <row r="494" spans="22:22" ht="20.100000000000001" customHeight="1" x14ac:dyDescent="0.25">
      <c r="V494" s="1"/>
    </row>
    <row r="495" spans="22:22" ht="20.100000000000001" customHeight="1" x14ac:dyDescent="0.25">
      <c r="V495" s="1"/>
    </row>
    <row r="496" spans="22:22" ht="20.100000000000001" customHeight="1" x14ac:dyDescent="0.25">
      <c r="V496" s="1"/>
    </row>
    <row r="497" spans="22:22" ht="20.100000000000001" customHeight="1" x14ac:dyDescent="0.25">
      <c r="V497" s="1"/>
    </row>
    <row r="498" spans="22:22" ht="20.100000000000001" customHeight="1" x14ac:dyDescent="0.25">
      <c r="V498" s="1"/>
    </row>
    <row r="499" spans="22:22" ht="20.100000000000001" customHeight="1" x14ac:dyDescent="0.25">
      <c r="V499" s="1"/>
    </row>
    <row r="500" spans="22:22" ht="20.100000000000001" customHeight="1" x14ac:dyDescent="0.25">
      <c r="V500" s="1"/>
    </row>
    <row r="501" spans="22:22" ht="20.100000000000001" customHeight="1" x14ac:dyDescent="0.25">
      <c r="V501" s="1"/>
    </row>
    <row r="502" spans="22:22" ht="20.100000000000001" customHeight="1" x14ac:dyDescent="0.25">
      <c r="V502" s="1"/>
    </row>
    <row r="503" spans="22:22" ht="20.100000000000001" customHeight="1" x14ac:dyDescent="0.25">
      <c r="V503" s="1"/>
    </row>
    <row r="504" spans="22:22" ht="20.100000000000001" customHeight="1" x14ac:dyDescent="0.25">
      <c r="V504" s="1"/>
    </row>
    <row r="505" spans="22:22" ht="20.100000000000001" customHeight="1" x14ac:dyDescent="0.25">
      <c r="V505" s="1"/>
    </row>
    <row r="506" spans="22:22" ht="20.100000000000001" customHeight="1" x14ac:dyDescent="0.25">
      <c r="V506" s="1"/>
    </row>
    <row r="507" spans="22:22" ht="20.100000000000001" customHeight="1" x14ac:dyDescent="0.25">
      <c r="V507" s="1"/>
    </row>
    <row r="508" spans="22:22" ht="20.100000000000001" customHeight="1" x14ac:dyDescent="0.25">
      <c r="V508" s="1"/>
    </row>
    <row r="509" spans="22:22" ht="20.100000000000001" customHeight="1" x14ac:dyDescent="0.25">
      <c r="V509" s="1"/>
    </row>
    <row r="510" spans="22:22" ht="20.100000000000001" customHeight="1" x14ac:dyDescent="0.25">
      <c r="V510" s="1"/>
    </row>
    <row r="511" spans="22:22" ht="20.100000000000001" customHeight="1" x14ac:dyDescent="0.25">
      <c r="V511" s="1"/>
    </row>
    <row r="512" spans="22:22" ht="20.100000000000001" customHeight="1" x14ac:dyDescent="0.25">
      <c r="V512" s="1"/>
    </row>
    <row r="513" spans="22:22" ht="20.100000000000001" customHeight="1" x14ac:dyDescent="0.25">
      <c r="V513" s="1"/>
    </row>
    <row r="514" spans="22:22" ht="20.100000000000001" customHeight="1" x14ac:dyDescent="0.25">
      <c r="V514" s="1"/>
    </row>
    <row r="515" spans="22:22" ht="20.100000000000001" customHeight="1" x14ac:dyDescent="0.25">
      <c r="V515" s="1"/>
    </row>
    <row r="516" spans="22:22" ht="20.100000000000001" customHeight="1" x14ac:dyDescent="0.25">
      <c r="V516" s="1"/>
    </row>
    <row r="517" spans="22:22" ht="20.100000000000001" customHeight="1" x14ac:dyDescent="0.25">
      <c r="V517" s="1"/>
    </row>
    <row r="518" spans="22:22" ht="20.100000000000001" customHeight="1" x14ac:dyDescent="0.25">
      <c r="V518" s="1"/>
    </row>
    <row r="519" spans="22:22" ht="20.100000000000001" customHeight="1" x14ac:dyDescent="0.25">
      <c r="V519" s="1"/>
    </row>
    <row r="520" spans="22:22" ht="20.100000000000001" customHeight="1" x14ac:dyDescent="0.25">
      <c r="V520" s="1"/>
    </row>
    <row r="521" spans="22:22" ht="20.100000000000001" customHeight="1" x14ac:dyDescent="0.25">
      <c r="V521" s="1"/>
    </row>
    <row r="522" spans="22:22" ht="20.100000000000001" customHeight="1" x14ac:dyDescent="0.25">
      <c r="V522" s="1"/>
    </row>
    <row r="523" spans="22:22" ht="20.100000000000001" customHeight="1" x14ac:dyDescent="0.25">
      <c r="V523" s="1"/>
    </row>
    <row r="524" spans="22:22" ht="20.100000000000001" customHeight="1" x14ac:dyDescent="0.25">
      <c r="V524" s="1"/>
    </row>
    <row r="525" spans="22:22" ht="20.100000000000001" customHeight="1" x14ac:dyDescent="0.25">
      <c r="V525" s="1"/>
    </row>
    <row r="526" spans="22:22" ht="20.100000000000001" customHeight="1" x14ac:dyDescent="0.25">
      <c r="V526" s="1"/>
    </row>
    <row r="527" spans="22:22" ht="20.100000000000001" customHeight="1" x14ac:dyDescent="0.25">
      <c r="V527" s="1"/>
    </row>
    <row r="528" spans="22:22" ht="20.100000000000001" customHeight="1" x14ac:dyDescent="0.25">
      <c r="V528" s="1"/>
    </row>
    <row r="529" spans="22:22" ht="20.100000000000001" customHeight="1" x14ac:dyDescent="0.25">
      <c r="V529" s="1"/>
    </row>
    <row r="530" spans="22:22" ht="20.100000000000001" customHeight="1" x14ac:dyDescent="0.25">
      <c r="V530" s="1"/>
    </row>
    <row r="531" spans="22:22" ht="20.100000000000001" customHeight="1" x14ac:dyDescent="0.25">
      <c r="V531" s="1"/>
    </row>
    <row r="532" spans="22:22" ht="20.100000000000001" customHeight="1" x14ac:dyDescent="0.25">
      <c r="V532" s="1"/>
    </row>
    <row r="533" spans="22:22" ht="20.100000000000001" customHeight="1" x14ac:dyDescent="0.25">
      <c r="V533" s="1"/>
    </row>
    <row r="534" spans="22:22" ht="20.100000000000001" customHeight="1" x14ac:dyDescent="0.25">
      <c r="V534" s="1"/>
    </row>
    <row r="535" spans="22:22" ht="20.100000000000001" customHeight="1" x14ac:dyDescent="0.25">
      <c r="V535" s="1"/>
    </row>
    <row r="536" spans="22:22" ht="20.100000000000001" customHeight="1" x14ac:dyDescent="0.25">
      <c r="V536" s="1"/>
    </row>
    <row r="537" spans="22:22" ht="20.100000000000001" customHeight="1" x14ac:dyDescent="0.25">
      <c r="V537" s="1"/>
    </row>
    <row r="538" spans="22:22" ht="20.100000000000001" customHeight="1" x14ac:dyDescent="0.25">
      <c r="V538" s="1"/>
    </row>
    <row r="539" spans="22:22" ht="20.100000000000001" customHeight="1" x14ac:dyDescent="0.25">
      <c r="V539" s="1"/>
    </row>
    <row r="540" spans="22:22" ht="20.100000000000001" customHeight="1" x14ac:dyDescent="0.25">
      <c r="V540" s="1"/>
    </row>
    <row r="541" spans="22:22" ht="20.100000000000001" customHeight="1" x14ac:dyDescent="0.25">
      <c r="V541" s="1"/>
    </row>
    <row r="542" spans="22:22" ht="20.100000000000001" customHeight="1" x14ac:dyDescent="0.25">
      <c r="V542" s="1"/>
    </row>
    <row r="543" spans="22:22" ht="20.100000000000001" customHeight="1" x14ac:dyDescent="0.25">
      <c r="V543" s="1"/>
    </row>
    <row r="544" spans="22:22" ht="20.100000000000001" customHeight="1" x14ac:dyDescent="0.25">
      <c r="V544" s="1"/>
    </row>
    <row r="545" spans="22:22" ht="20.100000000000001" customHeight="1" x14ac:dyDescent="0.25">
      <c r="V545" s="1"/>
    </row>
    <row r="546" spans="22:22" ht="20.100000000000001" customHeight="1" x14ac:dyDescent="0.25">
      <c r="V546" s="1"/>
    </row>
    <row r="547" spans="22:22" ht="20.100000000000001" customHeight="1" x14ac:dyDescent="0.25">
      <c r="V547" s="1"/>
    </row>
    <row r="548" spans="22:22" ht="20.100000000000001" customHeight="1" x14ac:dyDescent="0.25">
      <c r="V548" s="1"/>
    </row>
    <row r="549" spans="22:22" ht="20.100000000000001" customHeight="1" x14ac:dyDescent="0.25">
      <c r="V549" s="1"/>
    </row>
    <row r="550" spans="22:22" ht="20.100000000000001" customHeight="1" x14ac:dyDescent="0.25">
      <c r="V550" s="1"/>
    </row>
    <row r="551" spans="22:22" ht="20.100000000000001" customHeight="1" x14ac:dyDescent="0.25">
      <c r="V551" s="1"/>
    </row>
    <row r="552" spans="22:22" ht="20.100000000000001" customHeight="1" x14ac:dyDescent="0.25">
      <c r="V552" s="1"/>
    </row>
    <row r="553" spans="22:22" ht="20.100000000000001" customHeight="1" x14ac:dyDescent="0.25">
      <c r="V553" s="1"/>
    </row>
    <row r="554" spans="22:22" ht="20.100000000000001" customHeight="1" x14ac:dyDescent="0.25">
      <c r="V554" s="1"/>
    </row>
    <row r="555" spans="22:22" ht="20.100000000000001" customHeight="1" x14ac:dyDescent="0.25">
      <c r="V555" s="1"/>
    </row>
    <row r="556" spans="22:22" ht="20.100000000000001" customHeight="1" x14ac:dyDescent="0.25">
      <c r="V556" s="1"/>
    </row>
    <row r="557" spans="22:22" ht="20.100000000000001" customHeight="1" x14ac:dyDescent="0.25">
      <c r="V557" s="1"/>
    </row>
    <row r="558" spans="22:22" ht="20.100000000000001" customHeight="1" x14ac:dyDescent="0.25">
      <c r="V558" s="1"/>
    </row>
    <row r="559" spans="22:22" ht="20.100000000000001" customHeight="1" x14ac:dyDescent="0.25">
      <c r="V559" s="1"/>
    </row>
    <row r="560" spans="22:22" ht="20.100000000000001" customHeight="1" x14ac:dyDescent="0.25">
      <c r="V560" s="1"/>
    </row>
    <row r="561" spans="22:22" ht="20.100000000000001" customHeight="1" x14ac:dyDescent="0.25">
      <c r="V561" s="1"/>
    </row>
    <row r="562" spans="22:22" ht="20.100000000000001" customHeight="1" x14ac:dyDescent="0.25">
      <c r="V562" s="1"/>
    </row>
    <row r="563" spans="22:22" ht="20.100000000000001" customHeight="1" x14ac:dyDescent="0.25">
      <c r="V563" s="1"/>
    </row>
    <row r="564" spans="22:22" ht="20.100000000000001" customHeight="1" x14ac:dyDescent="0.25">
      <c r="V564" s="1"/>
    </row>
    <row r="565" spans="22:22" ht="20.100000000000001" customHeight="1" x14ac:dyDescent="0.25">
      <c r="V565" s="1"/>
    </row>
    <row r="566" spans="22:22" ht="20.100000000000001" customHeight="1" x14ac:dyDescent="0.25">
      <c r="V566" s="1"/>
    </row>
    <row r="567" spans="22:22" ht="20.100000000000001" customHeight="1" x14ac:dyDescent="0.25">
      <c r="V567" s="1"/>
    </row>
    <row r="568" spans="22:22" ht="20.100000000000001" customHeight="1" x14ac:dyDescent="0.25">
      <c r="V568" s="1"/>
    </row>
    <row r="569" spans="22:22" ht="20.100000000000001" customHeight="1" x14ac:dyDescent="0.25">
      <c r="V569" s="1"/>
    </row>
    <row r="570" spans="22:22" ht="20.100000000000001" customHeight="1" x14ac:dyDescent="0.25">
      <c r="V570" s="1"/>
    </row>
    <row r="571" spans="22:22" ht="20.100000000000001" customHeight="1" x14ac:dyDescent="0.25">
      <c r="V571" s="1"/>
    </row>
    <row r="572" spans="22:22" ht="20.100000000000001" customHeight="1" x14ac:dyDescent="0.25">
      <c r="V572" s="1"/>
    </row>
    <row r="573" spans="22:22" ht="20.100000000000001" customHeight="1" x14ac:dyDescent="0.25">
      <c r="V573" s="1"/>
    </row>
    <row r="574" spans="22:22" ht="20.100000000000001" customHeight="1" x14ac:dyDescent="0.25">
      <c r="V574" s="1"/>
    </row>
    <row r="575" spans="22:22" ht="20.100000000000001" customHeight="1" x14ac:dyDescent="0.25">
      <c r="V575" s="1"/>
    </row>
    <row r="576" spans="22:22" ht="20.100000000000001" customHeight="1" x14ac:dyDescent="0.25">
      <c r="V576" s="1"/>
    </row>
    <row r="577" spans="22:22" ht="20.100000000000001" customHeight="1" x14ac:dyDescent="0.25">
      <c r="V577" s="1"/>
    </row>
    <row r="578" spans="22:22" ht="20.100000000000001" customHeight="1" x14ac:dyDescent="0.25">
      <c r="V578" s="1"/>
    </row>
    <row r="579" spans="22:22" ht="20.100000000000001" customHeight="1" x14ac:dyDescent="0.25">
      <c r="V579" s="1"/>
    </row>
    <row r="580" spans="22:22" ht="20.100000000000001" customHeight="1" x14ac:dyDescent="0.25">
      <c r="V580" s="1"/>
    </row>
    <row r="581" spans="22:22" ht="20.100000000000001" customHeight="1" x14ac:dyDescent="0.25">
      <c r="V581" s="1"/>
    </row>
    <row r="582" spans="22:22" ht="20.100000000000001" customHeight="1" x14ac:dyDescent="0.25">
      <c r="V582" s="1"/>
    </row>
    <row r="583" spans="22:22" ht="20.100000000000001" customHeight="1" x14ac:dyDescent="0.25">
      <c r="V583" s="1"/>
    </row>
    <row r="584" spans="22:22" ht="20.100000000000001" customHeight="1" x14ac:dyDescent="0.25">
      <c r="V584" s="1"/>
    </row>
    <row r="585" spans="22:22" ht="20.100000000000001" customHeight="1" x14ac:dyDescent="0.25">
      <c r="V585" s="1"/>
    </row>
    <row r="586" spans="22:22" ht="20.100000000000001" customHeight="1" x14ac:dyDescent="0.25">
      <c r="V586" s="1"/>
    </row>
    <row r="587" spans="22:22" ht="20.100000000000001" customHeight="1" x14ac:dyDescent="0.25">
      <c r="V587" s="1"/>
    </row>
    <row r="588" spans="22:22" ht="20.100000000000001" customHeight="1" x14ac:dyDescent="0.25">
      <c r="V588" s="1"/>
    </row>
    <row r="589" spans="22:22" ht="20.100000000000001" customHeight="1" x14ac:dyDescent="0.25">
      <c r="V589" s="1"/>
    </row>
    <row r="590" spans="22:22" ht="20.100000000000001" customHeight="1" x14ac:dyDescent="0.25">
      <c r="V590" s="1"/>
    </row>
    <row r="591" spans="22:22" ht="20.100000000000001" customHeight="1" x14ac:dyDescent="0.25">
      <c r="V591" s="1"/>
    </row>
    <row r="592" spans="22:22" ht="20.100000000000001" customHeight="1" x14ac:dyDescent="0.25">
      <c r="V592" s="1"/>
    </row>
    <row r="593" spans="22:22" ht="20.100000000000001" customHeight="1" x14ac:dyDescent="0.25">
      <c r="V593" s="1"/>
    </row>
    <row r="594" spans="22:22" ht="20.100000000000001" customHeight="1" x14ac:dyDescent="0.25">
      <c r="V594" s="1"/>
    </row>
    <row r="595" spans="22:22" ht="20.100000000000001" customHeight="1" x14ac:dyDescent="0.25">
      <c r="V595" s="1"/>
    </row>
    <row r="596" spans="22:22" ht="20.100000000000001" customHeight="1" x14ac:dyDescent="0.25">
      <c r="V596" s="1"/>
    </row>
    <row r="597" spans="22:22" ht="20.100000000000001" customHeight="1" x14ac:dyDescent="0.25">
      <c r="V597" s="1"/>
    </row>
    <row r="598" spans="22:22" ht="20.100000000000001" customHeight="1" x14ac:dyDescent="0.25">
      <c r="V598" s="1"/>
    </row>
    <row r="599" spans="22:22" ht="20.100000000000001" customHeight="1" x14ac:dyDescent="0.25">
      <c r="V599" s="1"/>
    </row>
    <row r="600" spans="22:22" ht="20.100000000000001" customHeight="1" x14ac:dyDescent="0.25">
      <c r="V600" s="1"/>
    </row>
    <row r="601" spans="22:22" ht="20.100000000000001" customHeight="1" x14ac:dyDescent="0.25">
      <c r="V601" s="1"/>
    </row>
    <row r="602" spans="22:22" ht="20.100000000000001" customHeight="1" x14ac:dyDescent="0.25">
      <c r="V602" s="1"/>
    </row>
    <row r="603" spans="22:22" ht="20.100000000000001" customHeight="1" x14ac:dyDescent="0.25">
      <c r="V603" s="1"/>
    </row>
    <row r="604" spans="22:22" ht="20.100000000000001" customHeight="1" x14ac:dyDescent="0.25">
      <c r="V604" s="1"/>
    </row>
    <row r="605" spans="22:22" ht="20.100000000000001" customHeight="1" x14ac:dyDescent="0.25">
      <c r="V605" s="1"/>
    </row>
    <row r="606" spans="22:22" ht="20.100000000000001" customHeight="1" x14ac:dyDescent="0.25">
      <c r="V606" s="1"/>
    </row>
    <row r="607" spans="22:22" ht="20.100000000000001" customHeight="1" x14ac:dyDescent="0.25">
      <c r="V607" s="1"/>
    </row>
    <row r="608" spans="22:22" ht="20.100000000000001" customHeight="1" x14ac:dyDescent="0.25">
      <c r="V608" s="1"/>
    </row>
    <row r="609" spans="22:22" ht="20.100000000000001" customHeight="1" x14ac:dyDescent="0.25">
      <c r="V609" s="1"/>
    </row>
    <row r="610" spans="22:22" ht="20.100000000000001" customHeight="1" x14ac:dyDescent="0.25">
      <c r="V610" s="1"/>
    </row>
    <row r="611" spans="22:22" ht="20.100000000000001" customHeight="1" x14ac:dyDescent="0.25">
      <c r="V611" s="1"/>
    </row>
    <row r="612" spans="22:22" ht="20.100000000000001" customHeight="1" x14ac:dyDescent="0.25">
      <c r="V612" s="1"/>
    </row>
    <row r="613" spans="22:22" ht="20.100000000000001" customHeight="1" x14ac:dyDescent="0.25">
      <c r="V613" s="1"/>
    </row>
    <row r="614" spans="22:22" ht="20.100000000000001" customHeight="1" x14ac:dyDescent="0.25">
      <c r="V614" s="1"/>
    </row>
    <row r="615" spans="22:22" ht="20.100000000000001" customHeight="1" x14ac:dyDescent="0.25">
      <c r="V615" s="1"/>
    </row>
    <row r="616" spans="22:22" ht="20.100000000000001" customHeight="1" x14ac:dyDescent="0.25">
      <c r="V616" s="1"/>
    </row>
    <row r="617" spans="22:22" ht="20.100000000000001" customHeight="1" x14ac:dyDescent="0.25">
      <c r="V617" s="1"/>
    </row>
    <row r="618" spans="22:22" ht="20.100000000000001" customHeight="1" x14ac:dyDescent="0.25">
      <c r="V618" s="1"/>
    </row>
    <row r="619" spans="22:22" ht="20.100000000000001" customHeight="1" x14ac:dyDescent="0.25">
      <c r="V619" s="1"/>
    </row>
    <row r="620" spans="22:22" ht="20.100000000000001" customHeight="1" x14ac:dyDescent="0.25">
      <c r="V620" s="1"/>
    </row>
    <row r="621" spans="22:22" ht="20.100000000000001" customHeight="1" x14ac:dyDescent="0.25">
      <c r="V621" s="1"/>
    </row>
    <row r="622" spans="22:22" ht="20.100000000000001" customHeight="1" x14ac:dyDescent="0.25">
      <c r="V622" s="1"/>
    </row>
    <row r="623" spans="22:22" ht="20.100000000000001" customHeight="1" x14ac:dyDescent="0.25">
      <c r="V623" s="1"/>
    </row>
    <row r="624" spans="22:22" ht="20.100000000000001" customHeight="1" x14ac:dyDescent="0.25">
      <c r="V624" s="1"/>
    </row>
    <row r="625" spans="22:22" ht="20.100000000000001" customHeight="1" x14ac:dyDescent="0.25">
      <c r="V625" s="1"/>
    </row>
    <row r="626" spans="22:22" ht="20.100000000000001" customHeight="1" x14ac:dyDescent="0.25">
      <c r="V626" s="1"/>
    </row>
    <row r="627" spans="22:22" ht="20.100000000000001" customHeight="1" x14ac:dyDescent="0.25">
      <c r="V627" s="1"/>
    </row>
    <row r="628" spans="22:22" ht="20.100000000000001" customHeight="1" x14ac:dyDescent="0.25">
      <c r="V628" s="1"/>
    </row>
    <row r="629" spans="22:22" ht="20.100000000000001" customHeight="1" x14ac:dyDescent="0.25">
      <c r="V629" s="1"/>
    </row>
    <row r="630" spans="22:22" ht="20.100000000000001" customHeight="1" x14ac:dyDescent="0.25">
      <c r="V630" s="1"/>
    </row>
    <row r="631" spans="22:22" ht="20.100000000000001" customHeight="1" x14ac:dyDescent="0.25">
      <c r="V631" s="1"/>
    </row>
    <row r="632" spans="22:22" ht="20.100000000000001" customHeight="1" x14ac:dyDescent="0.25">
      <c r="V632" s="1"/>
    </row>
    <row r="633" spans="22:22" ht="20.100000000000001" customHeight="1" x14ac:dyDescent="0.25">
      <c r="V633" s="1"/>
    </row>
    <row r="634" spans="22:22" ht="20.100000000000001" customHeight="1" x14ac:dyDescent="0.25">
      <c r="V634" s="1"/>
    </row>
    <row r="635" spans="22:22" ht="20.100000000000001" customHeight="1" x14ac:dyDescent="0.25">
      <c r="V635" s="1"/>
    </row>
    <row r="636" spans="22:22" ht="20.100000000000001" customHeight="1" x14ac:dyDescent="0.25">
      <c r="V636" s="1"/>
    </row>
    <row r="637" spans="22:22" ht="20.100000000000001" customHeight="1" x14ac:dyDescent="0.25">
      <c r="V637" s="1"/>
    </row>
    <row r="638" spans="22:22" ht="20.100000000000001" customHeight="1" x14ac:dyDescent="0.25">
      <c r="V638" s="1"/>
    </row>
    <row r="639" spans="22:22" ht="20.100000000000001" customHeight="1" x14ac:dyDescent="0.25">
      <c r="V639" s="1"/>
    </row>
    <row r="640" spans="22:22" ht="20.100000000000001" customHeight="1" x14ac:dyDescent="0.25">
      <c r="V640" s="1"/>
    </row>
    <row r="641" spans="22:22" ht="20.100000000000001" customHeight="1" x14ac:dyDescent="0.25">
      <c r="V641" s="1"/>
    </row>
    <row r="642" spans="22:22" ht="20.100000000000001" customHeight="1" x14ac:dyDescent="0.25">
      <c r="V642" s="1"/>
    </row>
    <row r="643" spans="22:22" ht="20.100000000000001" customHeight="1" x14ac:dyDescent="0.25">
      <c r="V643" s="1"/>
    </row>
    <row r="644" spans="22:22" ht="20.100000000000001" customHeight="1" x14ac:dyDescent="0.25">
      <c r="V644" s="1"/>
    </row>
    <row r="645" spans="22:22" ht="20.100000000000001" customHeight="1" x14ac:dyDescent="0.25">
      <c r="V645" s="1"/>
    </row>
    <row r="646" spans="22:22" ht="20.100000000000001" customHeight="1" x14ac:dyDescent="0.25">
      <c r="V646" s="1"/>
    </row>
    <row r="647" spans="22:22" ht="20.100000000000001" customHeight="1" x14ac:dyDescent="0.25">
      <c r="V647" s="1"/>
    </row>
    <row r="648" spans="22:22" ht="20.100000000000001" customHeight="1" x14ac:dyDescent="0.25">
      <c r="V648" s="1"/>
    </row>
    <row r="649" spans="22:22" ht="20.100000000000001" customHeight="1" x14ac:dyDescent="0.25">
      <c r="V649" s="1"/>
    </row>
    <row r="650" spans="22:22" ht="20.100000000000001" customHeight="1" x14ac:dyDescent="0.25">
      <c r="V650" s="1"/>
    </row>
    <row r="651" spans="22:22" ht="20.100000000000001" customHeight="1" x14ac:dyDescent="0.25">
      <c r="V651" s="1"/>
    </row>
    <row r="652" spans="22:22" ht="20.100000000000001" customHeight="1" x14ac:dyDescent="0.25">
      <c r="V652" s="1"/>
    </row>
    <row r="653" spans="22:22" ht="20.100000000000001" customHeight="1" x14ac:dyDescent="0.25">
      <c r="V653" s="1"/>
    </row>
    <row r="654" spans="22:22" ht="20.100000000000001" customHeight="1" x14ac:dyDescent="0.25">
      <c r="V654" s="1"/>
    </row>
    <row r="655" spans="22:22" ht="20.100000000000001" customHeight="1" x14ac:dyDescent="0.25">
      <c r="V655" s="1"/>
    </row>
    <row r="656" spans="22:22" ht="20.100000000000001" customHeight="1" x14ac:dyDescent="0.25">
      <c r="V656" s="1"/>
    </row>
    <row r="657" spans="22:22" ht="20.100000000000001" customHeight="1" x14ac:dyDescent="0.25">
      <c r="V657" s="1"/>
    </row>
    <row r="658" spans="22:22" ht="20.100000000000001" customHeight="1" x14ac:dyDescent="0.25">
      <c r="V658" s="1"/>
    </row>
    <row r="659" spans="22:22" ht="20.100000000000001" customHeight="1" x14ac:dyDescent="0.25">
      <c r="V659" s="1"/>
    </row>
    <row r="660" spans="22:22" ht="20.100000000000001" customHeight="1" x14ac:dyDescent="0.25">
      <c r="V660" s="1"/>
    </row>
    <row r="661" spans="22:22" ht="20.100000000000001" customHeight="1" x14ac:dyDescent="0.25">
      <c r="V661" s="1"/>
    </row>
    <row r="662" spans="22:22" ht="20.100000000000001" customHeight="1" x14ac:dyDescent="0.25">
      <c r="V662" s="1"/>
    </row>
    <row r="663" spans="22:22" ht="20.100000000000001" customHeight="1" x14ac:dyDescent="0.25">
      <c r="V663" s="1"/>
    </row>
    <row r="664" spans="22:22" ht="20.100000000000001" customHeight="1" x14ac:dyDescent="0.25">
      <c r="V664" s="1"/>
    </row>
    <row r="665" spans="22:22" ht="20.100000000000001" customHeight="1" x14ac:dyDescent="0.25">
      <c r="V665" s="1"/>
    </row>
    <row r="666" spans="22:22" ht="20.100000000000001" customHeight="1" x14ac:dyDescent="0.25">
      <c r="V666" s="1"/>
    </row>
    <row r="667" spans="22:22" ht="20.100000000000001" customHeight="1" x14ac:dyDescent="0.25">
      <c r="V667" s="1"/>
    </row>
    <row r="668" spans="22:22" ht="20.100000000000001" customHeight="1" x14ac:dyDescent="0.25">
      <c r="V668" s="1"/>
    </row>
    <row r="669" spans="22:22" ht="20.100000000000001" customHeight="1" x14ac:dyDescent="0.25">
      <c r="V669" s="1"/>
    </row>
    <row r="670" spans="22:22" ht="20.100000000000001" customHeight="1" x14ac:dyDescent="0.25">
      <c r="V670" s="1"/>
    </row>
    <row r="671" spans="22:22" ht="20.100000000000001" customHeight="1" x14ac:dyDescent="0.25">
      <c r="V671" s="1"/>
    </row>
    <row r="672" spans="22:22" ht="20.100000000000001" customHeight="1" x14ac:dyDescent="0.25">
      <c r="V672" s="1"/>
    </row>
    <row r="673" spans="22:22" ht="20.100000000000001" customHeight="1" x14ac:dyDescent="0.25">
      <c r="V673" s="1"/>
    </row>
    <row r="674" spans="22:22" ht="20.100000000000001" customHeight="1" x14ac:dyDescent="0.25">
      <c r="V674" s="1"/>
    </row>
    <row r="675" spans="22:22" ht="20.100000000000001" customHeight="1" x14ac:dyDescent="0.25">
      <c r="V675" s="1"/>
    </row>
    <row r="676" spans="22:22" ht="20.100000000000001" customHeight="1" x14ac:dyDescent="0.25">
      <c r="V676" s="1"/>
    </row>
    <row r="677" spans="22:22" ht="20.100000000000001" customHeight="1" x14ac:dyDescent="0.25">
      <c r="V677" s="1"/>
    </row>
    <row r="678" spans="22:22" ht="20.100000000000001" customHeight="1" x14ac:dyDescent="0.25">
      <c r="V678" s="1"/>
    </row>
    <row r="679" spans="22:22" ht="20.100000000000001" customHeight="1" x14ac:dyDescent="0.25">
      <c r="V679" s="1"/>
    </row>
    <row r="680" spans="22:22" ht="20.100000000000001" customHeight="1" x14ac:dyDescent="0.25">
      <c r="V680" s="1"/>
    </row>
    <row r="681" spans="22:22" ht="20.100000000000001" customHeight="1" x14ac:dyDescent="0.25">
      <c r="V681" s="1"/>
    </row>
    <row r="682" spans="22:22" ht="20.100000000000001" customHeight="1" x14ac:dyDescent="0.25">
      <c r="V682" s="1"/>
    </row>
    <row r="683" spans="22:22" ht="20.100000000000001" customHeight="1" x14ac:dyDescent="0.25">
      <c r="V683" s="1"/>
    </row>
    <row r="684" spans="22:22" ht="20.100000000000001" customHeight="1" x14ac:dyDescent="0.25">
      <c r="V684" s="1"/>
    </row>
    <row r="685" spans="22:22" ht="20.100000000000001" customHeight="1" x14ac:dyDescent="0.25">
      <c r="V685" s="1"/>
    </row>
    <row r="686" spans="22:22" ht="20.100000000000001" customHeight="1" x14ac:dyDescent="0.25">
      <c r="V686" s="1"/>
    </row>
    <row r="687" spans="22:22" ht="20.100000000000001" customHeight="1" x14ac:dyDescent="0.25">
      <c r="V687" s="1"/>
    </row>
    <row r="688" spans="22:22" ht="20.100000000000001" customHeight="1" x14ac:dyDescent="0.25">
      <c r="V688" s="1"/>
    </row>
    <row r="689" spans="22:22" ht="20.100000000000001" customHeight="1" x14ac:dyDescent="0.25">
      <c r="V689" s="1"/>
    </row>
    <row r="690" spans="22:22" ht="20.100000000000001" customHeight="1" x14ac:dyDescent="0.25">
      <c r="V690" s="1"/>
    </row>
    <row r="691" spans="22:22" ht="20.100000000000001" customHeight="1" x14ac:dyDescent="0.25">
      <c r="V691" s="1"/>
    </row>
    <row r="692" spans="22:22" ht="20.100000000000001" customHeight="1" x14ac:dyDescent="0.25">
      <c r="V692" s="1"/>
    </row>
    <row r="693" spans="22:22" ht="20.100000000000001" customHeight="1" x14ac:dyDescent="0.25">
      <c r="V693" s="1"/>
    </row>
    <row r="694" spans="22:22" ht="20.100000000000001" customHeight="1" x14ac:dyDescent="0.25">
      <c r="V694" s="1"/>
    </row>
    <row r="695" spans="22:22" ht="20.100000000000001" customHeight="1" x14ac:dyDescent="0.25">
      <c r="V695" s="1"/>
    </row>
    <row r="696" spans="22:22" ht="20.100000000000001" customHeight="1" x14ac:dyDescent="0.25">
      <c r="V696" s="1"/>
    </row>
    <row r="697" spans="22:22" ht="20.100000000000001" customHeight="1" x14ac:dyDescent="0.25">
      <c r="V697" s="1"/>
    </row>
    <row r="698" spans="22:22" ht="20.100000000000001" customHeight="1" x14ac:dyDescent="0.25">
      <c r="V698" s="1"/>
    </row>
    <row r="699" spans="22:22" ht="20.100000000000001" customHeight="1" x14ac:dyDescent="0.25">
      <c r="V699" s="1"/>
    </row>
    <row r="700" spans="22:22" ht="20.100000000000001" customHeight="1" x14ac:dyDescent="0.25">
      <c r="V700" s="1"/>
    </row>
    <row r="701" spans="22:22" ht="20.100000000000001" customHeight="1" x14ac:dyDescent="0.25">
      <c r="V701" s="1"/>
    </row>
    <row r="702" spans="22:22" ht="20.100000000000001" customHeight="1" x14ac:dyDescent="0.25">
      <c r="V702" s="1"/>
    </row>
    <row r="703" spans="22:22" ht="20.100000000000001" customHeight="1" x14ac:dyDescent="0.25">
      <c r="V703" s="1"/>
    </row>
    <row r="704" spans="22:22" ht="20.100000000000001" customHeight="1" x14ac:dyDescent="0.25">
      <c r="V704" s="1"/>
    </row>
    <row r="705" spans="22:22" ht="20.100000000000001" customHeight="1" x14ac:dyDescent="0.25">
      <c r="V705" s="1"/>
    </row>
    <row r="706" spans="22:22" ht="20.100000000000001" customHeight="1" x14ac:dyDescent="0.25">
      <c r="V706" s="1"/>
    </row>
    <row r="707" spans="22:22" ht="20.100000000000001" customHeight="1" x14ac:dyDescent="0.25">
      <c r="V707" s="1"/>
    </row>
    <row r="708" spans="22:22" ht="20.100000000000001" customHeight="1" x14ac:dyDescent="0.25">
      <c r="V708" s="1"/>
    </row>
    <row r="709" spans="22:22" ht="20.100000000000001" customHeight="1" x14ac:dyDescent="0.25">
      <c r="V709" s="1"/>
    </row>
    <row r="710" spans="22:22" ht="20.100000000000001" customHeight="1" x14ac:dyDescent="0.25">
      <c r="V710" s="1"/>
    </row>
    <row r="711" spans="22:22" ht="20.100000000000001" customHeight="1" x14ac:dyDescent="0.25">
      <c r="V711" s="1"/>
    </row>
    <row r="712" spans="22:22" ht="20.100000000000001" customHeight="1" x14ac:dyDescent="0.25">
      <c r="V712" s="1"/>
    </row>
    <row r="713" spans="22:22" ht="20.100000000000001" customHeight="1" x14ac:dyDescent="0.25">
      <c r="V713" s="1"/>
    </row>
    <row r="714" spans="22:22" ht="20.100000000000001" customHeight="1" x14ac:dyDescent="0.25">
      <c r="V714" s="1"/>
    </row>
    <row r="715" spans="22:22" ht="20.100000000000001" customHeight="1" x14ac:dyDescent="0.25">
      <c r="V715" s="1"/>
    </row>
    <row r="716" spans="22:22" ht="20.100000000000001" customHeight="1" x14ac:dyDescent="0.25">
      <c r="V716" s="1"/>
    </row>
    <row r="717" spans="22:22" ht="20.100000000000001" customHeight="1" x14ac:dyDescent="0.25">
      <c r="V717" s="1"/>
    </row>
    <row r="718" spans="22:22" ht="20.100000000000001" customHeight="1" x14ac:dyDescent="0.25">
      <c r="V718" s="1"/>
    </row>
    <row r="719" spans="22:22" ht="20.100000000000001" customHeight="1" x14ac:dyDescent="0.25">
      <c r="V719" s="1"/>
    </row>
    <row r="720" spans="22:22" ht="20.100000000000001" customHeight="1" x14ac:dyDescent="0.25">
      <c r="V720" s="1"/>
    </row>
    <row r="721" spans="22:22" ht="20.100000000000001" customHeight="1" x14ac:dyDescent="0.25">
      <c r="V721" s="1"/>
    </row>
    <row r="722" spans="22:22" ht="20.100000000000001" customHeight="1" x14ac:dyDescent="0.25">
      <c r="V722" s="1"/>
    </row>
    <row r="723" spans="22:22" ht="20.100000000000001" customHeight="1" x14ac:dyDescent="0.25">
      <c r="V723" s="1"/>
    </row>
    <row r="724" spans="22:22" ht="20.100000000000001" customHeight="1" x14ac:dyDescent="0.25">
      <c r="V724" s="1"/>
    </row>
    <row r="725" spans="22:22" ht="20.100000000000001" customHeight="1" x14ac:dyDescent="0.25">
      <c r="V725" s="1"/>
    </row>
    <row r="726" spans="22:22" ht="20.100000000000001" customHeight="1" x14ac:dyDescent="0.25">
      <c r="V726" s="1"/>
    </row>
    <row r="727" spans="22:22" ht="20.100000000000001" customHeight="1" x14ac:dyDescent="0.25">
      <c r="V727" s="1"/>
    </row>
    <row r="728" spans="22:22" ht="20.100000000000001" customHeight="1" x14ac:dyDescent="0.25">
      <c r="V728" s="1"/>
    </row>
    <row r="729" spans="22:22" ht="20.100000000000001" customHeight="1" x14ac:dyDescent="0.25">
      <c r="V729" s="1"/>
    </row>
    <row r="730" spans="22:22" ht="20.100000000000001" customHeight="1" x14ac:dyDescent="0.25">
      <c r="V730" s="1"/>
    </row>
    <row r="731" spans="22:22" ht="20.100000000000001" customHeight="1" x14ac:dyDescent="0.25">
      <c r="V731" s="1"/>
    </row>
    <row r="732" spans="22:22" ht="20.100000000000001" customHeight="1" x14ac:dyDescent="0.25">
      <c r="V732" s="1"/>
    </row>
    <row r="733" spans="22:22" ht="20.100000000000001" customHeight="1" x14ac:dyDescent="0.25">
      <c r="V733" s="1"/>
    </row>
    <row r="734" spans="22:22" ht="20.100000000000001" customHeight="1" x14ac:dyDescent="0.25">
      <c r="V734" s="1"/>
    </row>
    <row r="735" spans="22:22" ht="20.100000000000001" customHeight="1" x14ac:dyDescent="0.25">
      <c r="V735" s="1"/>
    </row>
    <row r="736" spans="22:22" ht="20.100000000000001" customHeight="1" x14ac:dyDescent="0.25">
      <c r="V736" s="1"/>
    </row>
    <row r="737" spans="22:22" ht="20.100000000000001" customHeight="1" x14ac:dyDescent="0.25">
      <c r="V737" s="1"/>
    </row>
    <row r="738" spans="22:22" ht="20.100000000000001" customHeight="1" x14ac:dyDescent="0.25">
      <c r="V738" s="1"/>
    </row>
    <row r="739" spans="22:22" ht="20.100000000000001" customHeight="1" x14ac:dyDescent="0.25">
      <c r="V739" s="1"/>
    </row>
    <row r="740" spans="22:22" ht="20.100000000000001" customHeight="1" x14ac:dyDescent="0.25">
      <c r="V740" s="1"/>
    </row>
    <row r="741" spans="22:22" ht="20.100000000000001" customHeight="1" x14ac:dyDescent="0.25">
      <c r="V741" s="1"/>
    </row>
    <row r="742" spans="22:22" ht="20.100000000000001" customHeight="1" x14ac:dyDescent="0.25">
      <c r="V742" s="1"/>
    </row>
    <row r="743" spans="22:22" ht="20.100000000000001" customHeight="1" x14ac:dyDescent="0.25">
      <c r="V743" s="1"/>
    </row>
    <row r="744" spans="22:22" ht="20.100000000000001" customHeight="1" x14ac:dyDescent="0.25">
      <c r="V744" s="1"/>
    </row>
    <row r="745" spans="22:22" ht="20.100000000000001" customHeight="1" x14ac:dyDescent="0.25">
      <c r="V745" s="1"/>
    </row>
    <row r="746" spans="22:22" ht="20.100000000000001" customHeight="1" x14ac:dyDescent="0.25">
      <c r="V746" s="1"/>
    </row>
    <row r="747" spans="22:22" ht="20.100000000000001" customHeight="1" x14ac:dyDescent="0.25">
      <c r="V747" s="1"/>
    </row>
    <row r="748" spans="22:22" ht="20.100000000000001" customHeight="1" x14ac:dyDescent="0.25">
      <c r="V748" s="1"/>
    </row>
    <row r="749" spans="22:22" ht="20.100000000000001" customHeight="1" x14ac:dyDescent="0.25">
      <c r="V749" s="1"/>
    </row>
    <row r="750" spans="22:22" ht="20.100000000000001" customHeight="1" x14ac:dyDescent="0.25">
      <c r="V750" s="1"/>
    </row>
    <row r="751" spans="22:22" ht="20.100000000000001" customHeight="1" x14ac:dyDescent="0.25">
      <c r="V751" s="1"/>
    </row>
    <row r="752" spans="22:22" ht="20.100000000000001" customHeight="1" x14ac:dyDescent="0.25">
      <c r="V752" s="1"/>
    </row>
    <row r="753" spans="22:22" ht="20.100000000000001" customHeight="1" x14ac:dyDescent="0.25">
      <c r="V753" s="1"/>
    </row>
    <row r="754" spans="22:22" ht="20.100000000000001" customHeight="1" x14ac:dyDescent="0.25">
      <c r="V754" s="1"/>
    </row>
    <row r="755" spans="22:22" ht="20.100000000000001" customHeight="1" x14ac:dyDescent="0.25">
      <c r="V755" s="1"/>
    </row>
    <row r="756" spans="22:22" ht="20.100000000000001" customHeight="1" x14ac:dyDescent="0.25">
      <c r="V756" s="1"/>
    </row>
    <row r="757" spans="22:22" ht="20.100000000000001" customHeight="1" x14ac:dyDescent="0.25">
      <c r="V757" s="1"/>
    </row>
    <row r="758" spans="22:22" ht="20.100000000000001" customHeight="1" x14ac:dyDescent="0.25">
      <c r="V758" s="1"/>
    </row>
    <row r="759" spans="22:22" ht="20.100000000000001" customHeight="1" x14ac:dyDescent="0.25">
      <c r="V759" s="1"/>
    </row>
    <row r="760" spans="22:22" ht="20.100000000000001" customHeight="1" x14ac:dyDescent="0.25">
      <c r="V760" s="1"/>
    </row>
    <row r="761" spans="22:22" ht="20.100000000000001" customHeight="1" x14ac:dyDescent="0.25">
      <c r="V761" s="1"/>
    </row>
    <row r="762" spans="22:22" ht="20.100000000000001" customHeight="1" x14ac:dyDescent="0.25">
      <c r="V762" s="1"/>
    </row>
    <row r="763" spans="22:22" ht="20.100000000000001" customHeight="1" x14ac:dyDescent="0.25">
      <c r="V763" s="1"/>
    </row>
    <row r="764" spans="22:22" ht="20.100000000000001" customHeight="1" x14ac:dyDescent="0.25">
      <c r="V764" s="1"/>
    </row>
    <row r="765" spans="22:22" ht="20.100000000000001" customHeight="1" x14ac:dyDescent="0.25">
      <c r="V765" s="1"/>
    </row>
    <row r="766" spans="22:22" ht="20.100000000000001" customHeight="1" x14ac:dyDescent="0.25">
      <c r="V766" s="1"/>
    </row>
    <row r="767" spans="22:22" ht="20.100000000000001" customHeight="1" x14ac:dyDescent="0.25">
      <c r="V767" s="1"/>
    </row>
    <row r="768" spans="22:22" ht="20.100000000000001" customHeight="1" x14ac:dyDescent="0.25">
      <c r="V768" s="1"/>
    </row>
    <row r="769" spans="22:22" ht="20.100000000000001" customHeight="1" x14ac:dyDescent="0.25">
      <c r="V769" s="1"/>
    </row>
    <row r="770" spans="22:22" ht="20.100000000000001" customHeight="1" x14ac:dyDescent="0.25">
      <c r="V770" s="1"/>
    </row>
    <row r="771" spans="22:22" ht="20.100000000000001" customHeight="1" x14ac:dyDescent="0.25">
      <c r="V771" s="1"/>
    </row>
    <row r="772" spans="22:22" ht="20.100000000000001" customHeight="1" x14ac:dyDescent="0.25">
      <c r="V772" s="1"/>
    </row>
    <row r="773" spans="22:22" ht="20.100000000000001" customHeight="1" x14ac:dyDescent="0.25">
      <c r="V773" s="1"/>
    </row>
    <row r="774" spans="22:22" ht="20.100000000000001" customHeight="1" x14ac:dyDescent="0.25">
      <c r="V774" s="1"/>
    </row>
    <row r="775" spans="22:22" ht="20.100000000000001" customHeight="1" x14ac:dyDescent="0.25">
      <c r="V775" s="1"/>
    </row>
    <row r="776" spans="22:22" ht="20.100000000000001" customHeight="1" x14ac:dyDescent="0.25">
      <c r="V776" s="1"/>
    </row>
    <row r="777" spans="22:22" ht="20.100000000000001" customHeight="1" x14ac:dyDescent="0.25">
      <c r="V777" s="1"/>
    </row>
    <row r="778" spans="22:22" ht="20.100000000000001" customHeight="1" x14ac:dyDescent="0.25">
      <c r="V778" s="1"/>
    </row>
    <row r="779" spans="22:22" ht="20.100000000000001" customHeight="1" x14ac:dyDescent="0.25">
      <c r="V779" s="1"/>
    </row>
    <row r="780" spans="22:22" ht="20.100000000000001" customHeight="1" x14ac:dyDescent="0.25">
      <c r="V780" s="1"/>
    </row>
    <row r="781" spans="22:22" ht="20.100000000000001" customHeight="1" x14ac:dyDescent="0.25">
      <c r="V781" s="1"/>
    </row>
    <row r="782" spans="22:22" ht="20.100000000000001" customHeight="1" x14ac:dyDescent="0.25">
      <c r="V782" s="1"/>
    </row>
    <row r="783" spans="22:22" ht="20.100000000000001" customHeight="1" x14ac:dyDescent="0.25">
      <c r="V783" s="1"/>
    </row>
    <row r="784" spans="22:22" ht="20.100000000000001" customHeight="1" x14ac:dyDescent="0.25">
      <c r="V784" s="1"/>
    </row>
    <row r="785" spans="22:22" ht="20.100000000000001" customHeight="1" x14ac:dyDescent="0.25">
      <c r="V785" s="1"/>
    </row>
    <row r="786" spans="22:22" ht="20.100000000000001" customHeight="1" x14ac:dyDescent="0.25">
      <c r="V786" s="1"/>
    </row>
    <row r="787" spans="22:22" ht="20.100000000000001" customHeight="1" x14ac:dyDescent="0.25">
      <c r="V787" s="1"/>
    </row>
    <row r="788" spans="22:22" ht="20.100000000000001" customHeight="1" x14ac:dyDescent="0.25">
      <c r="V788" s="1"/>
    </row>
    <row r="789" spans="22:22" ht="20.100000000000001" customHeight="1" x14ac:dyDescent="0.25">
      <c r="V789" s="1"/>
    </row>
    <row r="790" spans="22:22" ht="20.100000000000001" customHeight="1" x14ac:dyDescent="0.25">
      <c r="V790" s="1"/>
    </row>
    <row r="791" spans="22:22" ht="20.100000000000001" customHeight="1" x14ac:dyDescent="0.25">
      <c r="V791" s="1"/>
    </row>
    <row r="792" spans="22:22" ht="20.100000000000001" customHeight="1" x14ac:dyDescent="0.25">
      <c r="V792" s="1"/>
    </row>
    <row r="793" spans="22:22" ht="20.100000000000001" customHeight="1" x14ac:dyDescent="0.25">
      <c r="V793" s="1"/>
    </row>
    <row r="794" spans="22:22" ht="20.100000000000001" customHeight="1" x14ac:dyDescent="0.25">
      <c r="V794" s="1"/>
    </row>
    <row r="795" spans="22:22" ht="20.100000000000001" customHeight="1" x14ac:dyDescent="0.25">
      <c r="V795" s="1"/>
    </row>
    <row r="796" spans="22:22" ht="20.100000000000001" customHeight="1" x14ac:dyDescent="0.25">
      <c r="V796" s="1"/>
    </row>
    <row r="797" spans="22:22" ht="20.100000000000001" customHeight="1" x14ac:dyDescent="0.25">
      <c r="V797" s="1"/>
    </row>
    <row r="798" spans="22:22" ht="20.100000000000001" customHeight="1" x14ac:dyDescent="0.25">
      <c r="V798" s="1"/>
    </row>
    <row r="799" spans="22:22" ht="20.100000000000001" customHeight="1" x14ac:dyDescent="0.25">
      <c r="V799" s="1"/>
    </row>
    <row r="800" spans="22:22" ht="20.100000000000001" customHeight="1" x14ac:dyDescent="0.25">
      <c r="V800" s="1"/>
    </row>
    <row r="801" spans="22:22" ht="20.100000000000001" customHeight="1" x14ac:dyDescent="0.25">
      <c r="V801" s="1"/>
    </row>
    <row r="802" spans="22:22" ht="20.100000000000001" customHeight="1" x14ac:dyDescent="0.25">
      <c r="V802" s="1"/>
    </row>
    <row r="803" spans="22:22" ht="20.100000000000001" customHeight="1" x14ac:dyDescent="0.25">
      <c r="V803" s="1"/>
    </row>
    <row r="804" spans="22:22" ht="20.100000000000001" customHeight="1" x14ac:dyDescent="0.25">
      <c r="V804" s="1"/>
    </row>
    <row r="805" spans="22:22" ht="20.100000000000001" customHeight="1" x14ac:dyDescent="0.25">
      <c r="V805" s="1"/>
    </row>
    <row r="806" spans="22:22" ht="20.100000000000001" customHeight="1" x14ac:dyDescent="0.25">
      <c r="V806" s="1"/>
    </row>
    <row r="807" spans="22:22" ht="20.100000000000001" customHeight="1" x14ac:dyDescent="0.25">
      <c r="V807" s="1"/>
    </row>
    <row r="808" spans="22:22" ht="20.100000000000001" customHeight="1" x14ac:dyDescent="0.25">
      <c r="V808" s="1"/>
    </row>
    <row r="809" spans="22:22" ht="20.100000000000001" customHeight="1" x14ac:dyDescent="0.25">
      <c r="V809" s="1"/>
    </row>
    <row r="810" spans="22:22" ht="20.100000000000001" customHeight="1" x14ac:dyDescent="0.25">
      <c r="V810" s="1"/>
    </row>
    <row r="811" spans="22:22" ht="20.100000000000001" customHeight="1" x14ac:dyDescent="0.25">
      <c r="V811" s="1"/>
    </row>
    <row r="812" spans="22:22" ht="20.100000000000001" customHeight="1" x14ac:dyDescent="0.25">
      <c r="V812" s="1"/>
    </row>
    <row r="813" spans="22:22" ht="20.100000000000001" customHeight="1" x14ac:dyDescent="0.25">
      <c r="V813" s="1"/>
    </row>
    <row r="814" spans="22:22" ht="20.100000000000001" customHeight="1" x14ac:dyDescent="0.25">
      <c r="V814" s="1"/>
    </row>
    <row r="815" spans="22:22" ht="20.100000000000001" customHeight="1" x14ac:dyDescent="0.25">
      <c r="V815" s="1"/>
    </row>
    <row r="816" spans="22:22" ht="20.100000000000001" customHeight="1" x14ac:dyDescent="0.25">
      <c r="V816" s="1"/>
    </row>
    <row r="817" spans="22:22" ht="20.100000000000001" customHeight="1" x14ac:dyDescent="0.25">
      <c r="V817" s="1"/>
    </row>
    <row r="818" spans="22:22" ht="20.100000000000001" customHeight="1" x14ac:dyDescent="0.25">
      <c r="V818" s="1"/>
    </row>
    <row r="819" spans="22:22" ht="20.100000000000001" customHeight="1" x14ac:dyDescent="0.25">
      <c r="V819" s="1"/>
    </row>
    <row r="820" spans="22:22" ht="20.100000000000001" customHeight="1" x14ac:dyDescent="0.25">
      <c r="V820" s="1"/>
    </row>
    <row r="821" spans="22:22" ht="20.100000000000001" customHeight="1" x14ac:dyDescent="0.25">
      <c r="V821" s="1"/>
    </row>
    <row r="822" spans="22:22" ht="20.100000000000001" customHeight="1" x14ac:dyDescent="0.25">
      <c r="V822" s="1"/>
    </row>
    <row r="823" spans="22:22" ht="20.100000000000001" customHeight="1" x14ac:dyDescent="0.25">
      <c r="V823" s="1"/>
    </row>
    <row r="824" spans="22:22" ht="20.100000000000001" customHeight="1" x14ac:dyDescent="0.25">
      <c r="V824" s="1"/>
    </row>
    <row r="825" spans="22:22" ht="20.100000000000001" customHeight="1" x14ac:dyDescent="0.25">
      <c r="V825" s="1"/>
    </row>
    <row r="826" spans="22:22" ht="20.100000000000001" customHeight="1" x14ac:dyDescent="0.25">
      <c r="V826" s="1"/>
    </row>
    <row r="827" spans="22:22" ht="20.100000000000001" customHeight="1" x14ac:dyDescent="0.25">
      <c r="V827" s="1"/>
    </row>
    <row r="828" spans="22:22" ht="20.100000000000001" customHeight="1" x14ac:dyDescent="0.25">
      <c r="V828" s="1"/>
    </row>
    <row r="829" spans="22:22" ht="20.100000000000001" customHeight="1" x14ac:dyDescent="0.25">
      <c r="V829" s="1"/>
    </row>
    <row r="830" spans="22:22" ht="20.100000000000001" customHeight="1" x14ac:dyDescent="0.25">
      <c r="V830" s="1"/>
    </row>
    <row r="831" spans="22:22" ht="20.100000000000001" customHeight="1" x14ac:dyDescent="0.25">
      <c r="V831" s="1"/>
    </row>
    <row r="832" spans="22:22" ht="20.100000000000001" customHeight="1" x14ac:dyDescent="0.25">
      <c r="V832" s="1"/>
    </row>
    <row r="833" spans="22:22" ht="20.100000000000001" customHeight="1" x14ac:dyDescent="0.25">
      <c r="V833" s="1"/>
    </row>
    <row r="834" spans="22:22" ht="20.100000000000001" customHeight="1" x14ac:dyDescent="0.25">
      <c r="V834" s="1"/>
    </row>
    <row r="835" spans="22:22" ht="20.100000000000001" customHeight="1" x14ac:dyDescent="0.25">
      <c r="V835" s="1"/>
    </row>
    <row r="836" spans="22:22" ht="20.100000000000001" customHeight="1" x14ac:dyDescent="0.25">
      <c r="V836" s="1"/>
    </row>
    <row r="837" spans="22:22" ht="20.100000000000001" customHeight="1" x14ac:dyDescent="0.25">
      <c r="V837" s="1"/>
    </row>
    <row r="838" spans="22:22" ht="20.100000000000001" customHeight="1" x14ac:dyDescent="0.25">
      <c r="V838" s="1"/>
    </row>
    <row r="839" spans="22:22" ht="20.100000000000001" customHeight="1" x14ac:dyDescent="0.25">
      <c r="V839" s="1"/>
    </row>
    <row r="840" spans="22:22" ht="20.100000000000001" customHeight="1" x14ac:dyDescent="0.25">
      <c r="V840" s="1"/>
    </row>
    <row r="841" spans="22:22" ht="20.100000000000001" customHeight="1" x14ac:dyDescent="0.25">
      <c r="V841" s="1"/>
    </row>
    <row r="842" spans="22:22" ht="20.100000000000001" customHeight="1" x14ac:dyDescent="0.25">
      <c r="V842" s="1"/>
    </row>
    <row r="843" spans="22:22" ht="20.100000000000001" customHeight="1" x14ac:dyDescent="0.25">
      <c r="V843" s="1"/>
    </row>
    <row r="844" spans="22:22" ht="20.100000000000001" customHeight="1" x14ac:dyDescent="0.25">
      <c r="V844" s="1"/>
    </row>
    <row r="845" spans="22:22" ht="20.100000000000001" customHeight="1" x14ac:dyDescent="0.25">
      <c r="V845" s="1"/>
    </row>
    <row r="846" spans="22:22" ht="20.100000000000001" customHeight="1" x14ac:dyDescent="0.25">
      <c r="V846" s="1"/>
    </row>
    <row r="847" spans="22:22" ht="20.100000000000001" customHeight="1" x14ac:dyDescent="0.25">
      <c r="V847" s="1"/>
    </row>
    <row r="848" spans="22:22" ht="20.100000000000001" customHeight="1" x14ac:dyDescent="0.25">
      <c r="V848" s="1"/>
    </row>
    <row r="849" spans="22:22" ht="20.100000000000001" customHeight="1" x14ac:dyDescent="0.25">
      <c r="V849" s="1"/>
    </row>
    <row r="850" spans="22:22" ht="20.100000000000001" customHeight="1" x14ac:dyDescent="0.25">
      <c r="V850" s="1"/>
    </row>
    <row r="851" spans="22:22" ht="20.100000000000001" customHeight="1" x14ac:dyDescent="0.25">
      <c r="V851" s="1"/>
    </row>
    <row r="852" spans="22:22" ht="20.100000000000001" customHeight="1" x14ac:dyDescent="0.25">
      <c r="V852" s="1"/>
    </row>
    <row r="853" spans="22:22" ht="20.100000000000001" customHeight="1" x14ac:dyDescent="0.25">
      <c r="V853" s="1"/>
    </row>
    <row r="854" spans="22:22" ht="20.100000000000001" customHeight="1" x14ac:dyDescent="0.25">
      <c r="V854" s="1"/>
    </row>
    <row r="855" spans="22:22" ht="20.100000000000001" customHeight="1" x14ac:dyDescent="0.25">
      <c r="V855" s="1"/>
    </row>
    <row r="856" spans="22:22" ht="20.100000000000001" customHeight="1" x14ac:dyDescent="0.25">
      <c r="V856" s="1"/>
    </row>
    <row r="857" spans="22:22" ht="20.100000000000001" customHeight="1" x14ac:dyDescent="0.25">
      <c r="V857" s="1"/>
    </row>
    <row r="858" spans="22:22" ht="20.100000000000001" customHeight="1" x14ac:dyDescent="0.25">
      <c r="V858" s="1"/>
    </row>
    <row r="859" spans="22:22" ht="20.100000000000001" customHeight="1" x14ac:dyDescent="0.25">
      <c r="V859" s="1"/>
    </row>
    <row r="860" spans="22:22" ht="20.100000000000001" customHeight="1" x14ac:dyDescent="0.25">
      <c r="V860" s="1"/>
    </row>
    <row r="861" spans="22:22" ht="20.100000000000001" customHeight="1" x14ac:dyDescent="0.25">
      <c r="V861" s="1"/>
    </row>
    <row r="862" spans="22:22" ht="20.100000000000001" customHeight="1" x14ac:dyDescent="0.25">
      <c r="V862" s="1"/>
    </row>
    <row r="863" spans="22:22" ht="20.100000000000001" customHeight="1" x14ac:dyDescent="0.25">
      <c r="V863" s="1"/>
    </row>
    <row r="864" spans="22:22" ht="20.100000000000001" customHeight="1" x14ac:dyDescent="0.25">
      <c r="V864" s="1"/>
    </row>
    <row r="865" spans="22:22" ht="20.100000000000001" customHeight="1" x14ac:dyDescent="0.25">
      <c r="V865" s="1"/>
    </row>
    <row r="866" spans="22:22" ht="20.100000000000001" customHeight="1" x14ac:dyDescent="0.25">
      <c r="V866" s="1"/>
    </row>
    <row r="867" spans="22:22" ht="20.100000000000001" customHeight="1" x14ac:dyDescent="0.25">
      <c r="V867" s="1"/>
    </row>
    <row r="868" spans="22:22" ht="20.100000000000001" customHeight="1" x14ac:dyDescent="0.25">
      <c r="V868" s="1"/>
    </row>
    <row r="869" spans="22:22" ht="20.100000000000001" customHeight="1" x14ac:dyDescent="0.25">
      <c r="V869" s="1"/>
    </row>
    <row r="870" spans="22:22" ht="20.100000000000001" customHeight="1" x14ac:dyDescent="0.25">
      <c r="V870" s="1"/>
    </row>
    <row r="871" spans="22:22" ht="20.100000000000001" customHeight="1" x14ac:dyDescent="0.25">
      <c r="V871" s="1"/>
    </row>
    <row r="872" spans="22:22" ht="20.100000000000001" customHeight="1" x14ac:dyDescent="0.25">
      <c r="V872" s="1"/>
    </row>
    <row r="873" spans="22:22" ht="20.100000000000001" customHeight="1" x14ac:dyDescent="0.25">
      <c r="V873" s="1"/>
    </row>
    <row r="874" spans="22:22" ht="20.100000000000001" customHeight="1" x14ac:dyDescent="0.25">
      <c r="V874" s="1"/>
    </row>
    <row r="875" spans="22:22" ht="20.100000000000001" customHeight="1" x14ac:dyDescent="0.25">
      <c r="V875" s="1"/>
    </row>
    <row r="876" spans="22:22" ht="20.100000000000001" customHeight="1" x14ac:dyDescent="0.25">
      <c r="V876" s="1"/>
    </row>
    <row r="877" spans="22:22" ht="20.100000000000001" customHeight="1" x14ac:dyDescent="0.25">
      <c r="V877" s="1"/>
    </row>
    <row r="878" spans="22:22" ht="20.100000000000001" customHeight="1" x14ac:dyDescent="0.25">
      <c r="V878" s="1"/>
    </row>
    <row r="879" spans="22:22" ht="20.100000000000001" customHeight="1" x14ac:dyDescent="0.25">
      <c r="V879" s="1"/>
    </row>
    <row r="880" spans="22:22" ht="20.100000000000001" customHeight="1" x14ac:dyDescent="0.25">
      <c r="V880" s="1"/>
    </row>
    <row r="881" spans="22:22" ht="20.100000000000001" customHeight="1" x14ac:dyDescent="0.25">
      <c r="V881" s="1"/>
    </row>
    <row r="882" spans="22:22" ht="20.100000000000001" customHeight="1" x14ac:dyDescent="0.25">
      <c r="V882" s="1"/>
    </row>
    <row r="883" spans="22:22" ht="20.100000000000001" customHeight="1" x14ac:dyDescent="0.25">
      <c r="V883" s="1"/>
    </row>
    <row r="884" spans="22:22" ht="20.100000000000001" customHeight="1" x14ac:dyDescent="0.25">
      <c r="V884" s="1"/>
    </row>
    <row r="885" spans="22:22" ht="20.100000000000001" customHeight="1" x14ac:dyDescent="0.25">
      <c r="V885" s="1"/>
    </row>
    <row r="886" spans="22:22" ht="20.100000000000001" customHeight="1" x14ac:dyDescent="0.25">
      <c r="V886" s="1"/>
    </row>
    <row r="887" spans="22:22" ht="20.100000000000001" customHeight="1" x14ac:dyDescent="0.25">
      <c r="V887" s="1"/>
    </row>
    <row r="888" spans="22:22" ht="20.100000000000001" customHeight="1" x14ac:dyDescent="0.25">
      <c r="V888" s="1"/>
    </row>
    <row r="889" spans="22:22" ht="20.100000000000001" customHeight="1" x14ac:dyDescent="0.25">
      <c r="V889" s="1"/>
    </row>
    <row r="890" spans="22:22" ht="20.100000000000001" customHeight="1" x14ac:dyDescent="0.25">
      <c r="V890" s="1"/>
    </row>
    <row r="891" spans="22:22" ht="20.100000000000001" customHeight="1" x14ac:dyDescent="0.25">
      <c r="V891" s="1"/>
    </row>
    <row r="892" spans="22:22" ht="20.100000000000001" customHeight="1" x14ac:dyDescent="0.25">
      <c r="V892" s="1"/>
    </row>
    <row r="893" spans="22:22" ht="20.100000000000001" customHeight="1" x14ac:dyDescent="0.25">
      <c r="V893" s="1"/>
    </row>
    <row r="894" spans="22:22" ht="20.100000000000001" customHeight="1" x14ac:dyDescent="0.25">
      <c r="V894" s="1"/>
    </row>
    <row r="895" spans="22:22" ht="20.100000000000001" customHeight="1" x14ac:dyDescent="0.25">
      <c r="V895" s="1"/>
    </row>
    <row r="896" spans="22:22" ht="20.100000000000001" customHeight="1" x14ac:dyDescent="0.25">
      <c r="V896" s="1"/>
    </row>
    <row r="897" spans="22:22" ht="20.100000000000001" customHeight="1" x14ac:dyDescent="0.25">
      <c r="V897" s="1"/>
    </row>
    <row r="898" spans="22:22" ht="20.100000000000001" customHeight="1" x14ac:dyDescent="0.25">
      <c r="V898" s="1"/>
    </row>
    <row r="899" spans="22:22" ht="20.100000000000001" customHeight="1" x14ac:dyDescent="0.25">
      <c r="V899" s="1"/>
    </row>
    <row r="900" spans="22:22" ht="20.100000000000001" customHeight="1" x14ac:dyDescent="0.25">
      <c r="V900" s="1"/>
    </row>
    <row r="901" spans="22:22" ht="20.100000000000001" customHeight="1" x14ac:dyDescent="0.25">
      <c r="V901" s="1"/>
    </row>
    <row r="902" spans="22:22" ht="20.100000000000001" customHeight="1" x14ac:dyDescent="0.25">
      <c r="V902" s="1"/>
    </row>
    <row r="903" spans="22:22" ht="20.100000000000001" customHeight="1" x14ac:dyDescent="0.25">
      <c r="V903" s="1"/>
    </row>
    <row r="904" spans="22:22" ht="20.100000000000001" customHeight="1" x14ac:dyDescent="0.25">
      <c r="V904" s="1"/>
    </row>
    <row r="905" spans="22:22" ht="20.100000000000001" customHeight="1" x14ac:dyDescent="0.25">
      <c r="V905" s="1"/>
    </row>
    <row r="906" spans="22:22" ht="20.100000000000001" customHeight="1" x14ac:dyDescent="0.25">
      <c r="V906" s="1"/>
    </row>
    <row r="907" spans="22:22" ht="20.100000000000001" customHeight="1" x14ac:dyDescent="0.25">
      <c r="V907" s="1"/>
    </row>
    <row r="908" spans="22:22" ht="20.100000000000001" customHeight="1" x14ac:dyDescent="0.25">
      <c r="V908" s="1"/>
    </row>
    <row r="909" spans="22:22" ht="20.100000000000001" customHeight="1" x14ac:dyDescent="0.25">
      <c r="V909" s="1"/>
    </row>
    <row r="910" spans="22:22" ht="20.100000000000001" customHeight="1" x14ac:dyDescent="0.25">
      <c r="V910" s="1"/>
    </row>
    <row r="911" spans="22:22" ht="20.100000000000001" customHeight="1" x14ac:dyDescent="0.25">
      <c r="V911" s="1"/>
    </row>
    <row r="912" spans="22:22" ht="20.100000000000001" customHeight="1" x14ac:dyDescent="0.25">
      <c r="V912" s="1"/>
    </row>
    <row r="913" spans="22:22" ht="20.100000000000001" customHeight="1" x14ac:dyDescent="0.25">
      <c r="V913" s="1"/>
    </row>
    <row r="914" spans="22:22" ht="20.100000000000001" customHeight="1" x14ac:dyDescent="0.25">
      <c r="V914" s="1"/>
    </row>
    <row r="915" spans="22:22" ht="20.100000000000001" customHeight="1" x14ac:dyDescent="0.25">
      <c r="V915" s="1"/>
    </row>
    <row r="916" spans="22:22" ht="20.100000000000001" customHeight="1" x14ac:dyDescent="0.25">
      <c r="V916" s="1"/>
    </row>
    <row r="917" spans="22:22" ht="20.100000000000001" customHeight="1" x14ac:dyDescent="0.25">
      <c r="V917" s="1"/>
    </row>
    <row r="918" spans="22:22" ht="20.100000000000001" customHeight="1" x14ac:dyDescent="0.25">
      <c r="V918" s="1"/>
    </row>
    <row r="919" spans="22:22" ht="20.100000000000001" customHeight="1" x14ac:dyDescent="0.25">
      <c r="V919" s="1"/>
    </row>
    <row r="920" spans="22:22" ht="20.100000000000001" customHeight="1" x14ac:dyDescent="0.25">
      <c r="V920" s="1"/>
    </row>
    <row r="921" spans="22:22" ht="20.100000000000001" customHeight="1" x14ac:dyDescent="0.25">
      <c r="V921" s="1"/>
    </row>
    <row r="922" spans="22:22" ht="20.100000000000001" customHeight="1" x14ac:dyDescent="0.25">
      <c r="V922" s="1"/>
    </row>
    <row r="923" spans="22:22" ht="20.100000000000001" customHeight="1" x14ac:dyDescent="0.25">
      <c r="V923" s="1"/>
    </row>
    <row r="924" spans="22:22" ht="20.100000000000001" customHeight="1" x14ac:dyDescent="0.25">
      <c r="V924" s="1"/>
    </row>
    <row r="925" spans="22:22" ht="20.100000000000001" customHeight="1" x14ac:dyDescent="0.25">
      <c r="V925" s="1"/>
    </row>
    <row r="926" spans="22:22" ht="20.100000000000001" customHeight="1" x14ac:dyDescent="0.25">
      <c r="V926" s="1"/>
    </row>
    <row r="927" spans="22:22" ht="20.100000000000001" customHeight="1" x14ac:dyDescent="0.25">
      <c r="V927" s="1"/>
    </row>
    <row r="928" spans="22:22" ht="20.100000000000001" customHeight="1" x14ac:dyDescent="0.25">
      <c r="V928" s="1"/>
    </row>
    <row r="929" spans="22:22" ht="20.100000000000001" customHeight="1" x14ac:dyDescent="0.25">
      <c r="V929" s="1"/>
    </row>
    <row r="930" spans="22:22" ht="20.100000000000001" customHeight="1" x14ac:dyDescent="0.25">
      <c r="V930" s="1"/>
    </row>
    <row r="931" spans="22:22" ht="20.100000000000001" customHeight="1" x14ac:dyDescent="0.25">
      <c r="V931" s="1"/>
    </row>
    <row r="932" spans="22:22" ht="20.100000000000001" customHeight="1" x14ac:dyDescent="0.25">
      <c r="V932" s="1"/>
    </row>
    <row r="933" spans="22:22" ht="20.100000000000001" customHeight="1" x14ac:dyDescent="0.25">
      <c r="V933" s="1"/>
    </row>
    <row r="934" spans="22:22" ht="20.100000000000001" customHeight="1" x14ac:dyDescent="0.25">
      <c r="V934" s="1"/>
    </row>
    <row r="935" spans="22:22" ht="20.100000000000001" customHeight="1" x14ac:dyDescent="0.25">
      <c r="V935" s="1"/>
    </row>
    <row r="936" spans="22:22" ht="20.100000000000001" customHeight="1" x14ac:dyDescent="0.25">
      <c r="V936" s="1"/>
    </row>
    <row r="937" spans="22:22" ht="20.100000000000001" customHeight="1" x14ac:dyDescent="0.25">
      <c r="V937" s="1"/>
    </row>
    <row r="938" spans="22:22" ht="20.100000000000001" customHeight="1" x14ac:dyDescent="0.25">
      <c r="V938" s="1"/>
    </row>
    <row r="939" spans="22:22" ht="20.100000000000001" customHeight="1" x14ac:dyDescent="0.25">
      <c r="V939" s="1"/>
    </row>
    <row r="940" spans="22:22" ht="20.100000000000001" customHeight="1" x14ac:dyDescent="0.25">
      <c r="V940" s="1"/>
    </row>
    <row r="941" spans="22:22" ht="20.100000000000001" customHeight="1" x14ac:dyDescent="0.25">
      <c r="V941" s="1"/>
    </row>
    <row r="942" spans="22:22" ht="20.100000000000001" customHeight="1" x14ac:dyDescent="0.25">
      <c r="V942" s="1"/>
    </row>
    <row r="943" spans="22:22" ht="20.100000000000001" customHeight="1" x14ac:dyDescent="0.25">
      <c r="V943" s="1"/>
    </row>
    <row r="944" spans="22:22" ht="20.100000000000001" customHeight="1" x14ac:dyDescent="0.25">
      <c r="V944" s="1"/>
    </row>
    <row r="945" spans="22:22" ht="20.100000000000001" customHeight="1" x14ac:dyDescent="0.25">
      <c r="V945" s="1"/>
    </row>
    <row r="946" spans="22:22" ht="20.100000000000001" customHeight="1" x14ac:dyDescent="0.25">
      <c r="V946" s="1"/>
    </row>
    <row r="947" spans="22:22" ht="20.100000000000001" customHeight="1" x14ac:dyDescent="0.25">
      <c r="V947" s="1"/>
    </row>
    <row r="948" spans="22:22" ht="20.100000000000001" customHeight="1" x14ac:dyDescent="0.25">
      <c r="V948" s="1"/>
    </row>
    <row r="949" spans="22:22" ht="20.100000000000001" customHeight="1" x14ac:dyDescent="0.25">
      <c r="V949" s="1"/>
    </row>
    <row r="950" spans="22:22" ht="20.100000000000001" customHeight="1" x14ac:dyDescent="0.25">
      <c r="V950" s="1"/>
    </row>
    <row r="951" spans="22:22" ht="20.100000000000001" customHeight="1" x14ac:dyDescent="0.25">
      <c r="V951" s="1"/>
    </row>
    <row r="952" spans="22:22" ht="20.100000000000001" customHeight="1" x14ac:dyDescent="0.25">
      <c r="V952" s="1"/>
    </row>
    <row r="953" spans="22:22" ht="20.100000000000001" customHeight="1" x14ac:dyDescent="0.25">
      <c r="V953" s="1"/>
    </row>
    <row r="954" spans="22:22" ht="20.100000000000001" customHeight="1" x14ac:dyDescent="0.25">
      <c r="V954" s="1"/>
    </row>
    <row r="955" spans="22:22" ht="20.100000000000001" customHeight="1" x14ac:dyDescent="0.25">
      <c r="V955" s="1"/>
    </row>
    <row r="956" spans="22:22" ht="20.100000000000001" customHeight="1" x14ac:dyDescent="0.25">
      <c r="V956" s="1"/>
    </row>
    <row r="957" spans="22:22" ht="20.100000000000001" customHeight="1" x14ac:dyDescent="0.25">
      <c r="V957" s="1"/>
    </row>
    <row r="958" spans="22:22" ht="20.100000000000001" customHeight="1" x14ac:dyDescent="0.25">
      <c r="V958" s="1"/>
    </row>
    <row r="959" spans="22:22" ht="20.100000000000001" customHeight="1" x14ac:dyDescent="0.25">
      <c r="V959" s="1"/>
    </row>
    <row r="960" spans="22:22" ht="20.100000000000001" customHeight="1" x14ac:dyDescent="0.25">
      <c r="V960" s="1"/>
    </row>
    <row r="961" spans="22:22" ht="20.100000000000001" customHeight="1" x14ac:dyDescent="0.25">
      <c r="V961" s="1"/>
    </row>
    <row r="962" spans="22:22" ht="20.100000000000001" customHeight="1" x14ac:dyDescent="0.25">
      <c r="V962" s="1"/>
    </row>
    <row r="963" spans="22:22" ht="20.100000000000001" customHeight="1" x14ac:dyDescent="0.25">
      <c r="V963" s="1"/>
    </row>
    <row r="964" spans="22:22" ht="20.100000000000001" customHeight="1" x14ac:dyDescent="0.25">
      <c r="V964" s="1"/>
    </row>
    <row r="965" spans="22:22" ht="20.100000000000001" customHeight="1" x14ac:dyDescent="0.25">
      <c r="V965" s="1"/>
    </row>
    <row r="966" spans="22:22" ht="20.100000000000001" customHeight="1" x14ac:dyDescent="0.25">
      <c r="V966" s="1"/>
    </row>
    <row r="967" spans="22:22" ht="20.100000000000001" customHeight="1" x14ac:dyDescent="0.25">
      <c r="V967" s="1"/>
    </row>
    <row r="968" spans="22:22" ht="20.100000000000001" customHeight="1" x14ac:dyDescent="0.25">
      <c r="V968" s="1"/>
    </row>
    <row r="969" spans="22:22" ht="20.100000000000001" customHeight="1" x14ac:dyDescent="0.25">
      <c r="V969" s="1"/>
    </row>
    <row r="970" spans="22:22" ht="20.100000000000001" customHeight="1" x14ac:dyDescent="0.25">
      <c r="V970" s="1"/>
    </row>
    <row r="971" spans="22:22" ht="20.100000000000001" customHeight="1" x14ac:dyDescent="0.25">
      <c r="V971" s="1"/>
    </row>
    <row r="972" spans="22:22" ht="20.100000000000001" customHeight="1" x14ac:dyDescent="0.25">
      <c r="V972" s="1"/>
    </row>
    <row r="973" spans="22:22" ht="20.100000000000001" customHeight="1" x14ac:dyDescent="0.25">
      <c r="V973" s="1"/>
    </row>
    <row r="974" spans="22:22" ht="20.100000000000001" customHeight="1" x14ac:dyDescent="0.25">
      <c r="V974" s="1"/>
    </row>
    <row r="975" spans="22:22" ht="20.100000000000001" customHeight="1" x14ac:dyDescent="0.25">
      <c r="V975" s="1"/>
    </row>
    <row r="976" spans="22:22" ht="20.100000000000001" customHeight="1" x14ac:dyDescent="0.25">
      <c r="V976" s="1"/>
    </row>
    <row r="977" spans="22:22" ht="20.100000000000001" customHeight="1" x14ac:dyDescent="0.25">
      <c r="V977" s="1"/>
    </row>
    <row r="978" spans="22:22" ht="20.100000000000001" customHeight="1" x14ac:dyDescent="0.25">
      <c r="V978" s="1"/>
    </row>
    <row r="979" spans="22:22" ht="20.100000000000001" customHeight="1" x14ac:dyDescent="0.25">
      <c r="V979" s="1"/>
    </row>
    <row r="980" spans="22:22" ht="20.100000000000001" customHeight="1" x14ac:dyDescent="0.25">
      <c r="V980" s="1"/>
    </row>
    <row r="981" spans="22:22" ht="20.100000000000001" customHeight="1" x14ac:dyDescent="0.25">
      <c r="V981" s="1"/>
    </row>
    <row r="982" spans="22:22" ht="20.100000000000001" customHeight="1" x14ac:dyDescent="0.25">
      <c r="V982" s="1"/>
    </row>
    <row r="983" spans="22:22" ht="20.100000000000001" customHeight="1" x14ac:dyDescent="0.25">
      <c r="V983" s="1"/>
    </row>
    <row r="984" spans="22:22" ht="20.100000000000001" customHeight="1" x14ac:dyDescent="0.25">
      <c r="V984" s="1"/>
    </row>
    <row r="985" spans="22:22" ht="20.100000000000001" customHeight="1" x14ac:dyDescent="0.25">
      <c r="V985" s="1"/>
    </row>
    <row r="986" spans="22:22" ht="20.100000000000001" customHeight="1" x14ac:dyDescent="0.25">
      <c r="V986" s="1"/>
    </row>
    <row r="987" spans="22:22" ht="20.100000000000001" customHeight="1" x14ac:dyDescent="0.25">
      <c r="V987" s="1"/>
    </row>
    <row r="988" spans="22:22" ht="20.100000000000001" customHeight="1" x14ac:dyDescent="0.25">
      <c r="V988" s="1"/>
    </row>
    <row r="989" spans="22:22" ht="20.100000000000001" customHeight="1" x14ac:dyDescent="0.25">
      <c r="V989" s="1"/>
    </row>
    <row r="990" spans="22:22" ht="20.100000000000001" customHeight="1" x14ac:dyDescent="0.25">
      <c r="V990" s="1"/>
    </row>
    <row r="991" spans="22:22" ht="20.100000000000001" customHeight="1" x14ac:dyDescent="0.25">
      <c r="V991" s="1"/>
    </row>
    <row r="992" spans="22:22" ht="20.100000000000001" customHeight="1" x14ac:dyDescent="0.25">
      <c r="V992" s="1"/>
    </row>
    <row r="993" spans="22:22" ht="20.100000000000001" customHeight="1" x14ac:dyDescent="0.25">
      <c r="V993" s="1"/>
    </row>
    <row r="994" spans="22:22" ht="20.100000000000001" customHeight="1" x14ac:dyDescent="0.25">
      <c r="V994" s="1"/>
    </row>
    <row r="995" spans="22:22" ht="20.100000000000001" customHeight="1" x14ac:dyDescent="0.25">
      <c r="V995" s="1"/>
    </row>
    <row r="996" spans="22:22" ht="20.100000000000001" customHeight="1" x14ac:dyDescent="0.25">
      <c r="V996" s="1"/>
    </row>
    <row r="997" spans="22:22" ht="20.100000000000001" customHeight="1" x14ac:dyDescent="0.25">
      <c r="V997" s="1"/>
    </row>
    <row r="998" spans="22:22" ht="20.100000000000001" customHeight="1" x14ac:dyDescent="0.25">
      <c r="V998" s="1"/>
    </row>
    <row r="999" spans="22:22" ht="20.100000000000001" customHeight="1" x14ac:dyDescent="0.25">
      <c r="V999" s="1"/>
    </row>
    <row r="1000" spans="22:22" ht="20.100000000000001" customHeight="1" x14ac:dyDescent="0.25">
      <c r="V1000" s="1"/>
    </row>
    <row r="1001" spans="22:22" ht="20.100000000000001" customHeight="1" x14ac:dyDescent="0.25">
      <c r="V1001" s="1"/>
    </row>
    <row r="1002" spans="22:22" ht="20.100000000000001" customHeight="1" x14ac:dyDescent="0.25">
      <c r="V1002" s="1"/>
    </row>
    <row r="1003" spans="22:22" ht="20.100000000000001" customHeight="1" x14ac:dyDescent="0.25">
      <c r="V1003" s="1"/>
    </row>
    <row r="1004" spans="22:22" ht="20.100000000000001" customHeight="1" x14ac:dyDescent="0.25">
      <c r="V1004" s="1"/>
    </row>
    <row r="1005" spans="22:22" ht="20.100000000000001" customHeight="1" x14ac:dyDescent="0.25">
      <c r="V1005" s="1"/>
    </row>
    <row r="1006" spans="22:22" ht="20.100000000000001" customHeight="1" x14ac:dyDescent="0.25">
      <c r="V1006" s="1"/>
    </row>
    <row r="1007" spans="22:22" ht="20.100000000000001" customHeight="1" x14ac:dyDescent="0.25">
      <c r="V1007" s="1"/>
    </row>
    <row r="1008" spans="22:22" ht="20.100000000000001" customHeight="1" x14ac:dyDescent="0.25">
      <c r="V1008" s="1"/>
    </row>
    <row r="1009" spans="22:22" ht="20.100000000000001" customHeight="1" x14ac:dyDescent="0.25">
      <c r="V1009" s="1"/>
    </row>
    <row r="1010" spans="22:22" ht="20.100000000000001" customHeight="1" x14ac:dyDescent="0.25">
      <c r="V1010" s="1"/>
    </row>
    <row r="1011" spans="22:22" ht="20.100000000000001" customHeight="1" x14ac:dyDescent="0.25">
      <c r="V1011" s="1"/>
    </row>
    <row r="1012" spans="22:22" ht="20.100000000000001" customHeight="1" x14ac:dyDescent="0.25">
      <c r="V1012" s="1"/>
    </row>
    <row r="1013" spans="22:22" ht="20.100000000000001" customHeight="1" x14ac:dyDescent="0.25">
      <c r="V1013" s="1"/>
    </row>
    <row r="1014" spans="22:22" ht="20.100000000000001" customHeight="1" x14ac:dyDescent="0.25">
      <c r="V1014" s="1"/>
    </row>
    <row r="1015" spans="22:22" ht="20.100000000000001" customHeight="1" x14ac:dyDescent="0.25">
      <c r="V1015" s="1"/>
    </row>
    <row r="1016" spans="22:22" ht="20.100000000000001" customHeight="1" x14ac:dyDescent="0.25">
      <c r="V1016" s="1"/>
    </row>
    <row r="1017" spans="22:22" ht="20.100000000000001" customHeight="1" x14ac:dyDescent="0.25">
      <c r="V1017" s="1"/>
    </row>
    <row r="1018" spans="22:22" ht="20.100000000000001" customHeight="1" x14ac:dyDescent="0.25">
      <c r="V1018" s="1"/>
    </row>
    <row r="1019" spans="22:22" ht="20.100000000000001" customHeight="1" x14ac:dyDescent="0.25">
      <c r="V1019" s="1"/>
    </row>
    <row r="1020" spans="22:22" ht="20.100000000000001" customHeight="1" x14ac:dyDescent="0.25">
      <c r="V1020" s="1"/>
    </row>
    <row r="1021" spans="22:22" ht="20.100000000000001" customHeight="1" x14ac:dyDescent="0.25">
      <c r="V1021" s="1"/>
    </row>
    <row r="1022" spans="22:22" ht="20.100000000000001" customHeight="1" x14ac:dyDescent="0.25">
      <c r="V1022" s="1"/>
    </row>
    <row r="1023" spans="22:22" ht="20.100000000000001" customHeight="1" x14ac:dyDescent="0.25">
      <c r="V1023" s="1"/>
    </row>
    <row r="1024" spans="22:22" ht="20.100000000000001" customHeight="1" x14ac:dyDescent="0.25">
      <c r="V1024" s="1"/>
    </row>
    <row r="1025" spans="22:22" ht="20.100000000000001" customHeight="1" x14ac:dyDescent="0.25">
      <c r="V1025" s="1"/>
    </row>
    <row r="1026" spans="22:22" ht="20.100000000000001" customHeight="1" x14ac:dyDescent="0.25">
      <c r="V1026" s="1"/>
    </row>
    <row r="1027" spans="22:22" ht="20.100000000000001" customHeight="1" x14ac:dyDescent="0.25">
      <c r="V1027" s="1"/>
    </row>
    <row r="1028" spans="22:22" ht="20.100000000000001" customHeight="1" x14ac:dyDescent="0.25">
      <c r="V1028" s="1"/>
    </row>
    <row r="1029" spans="22:22" ht="20.100000000000001" customHeight="1" x14ac:dyDescent="0.25">
      <c r="V1029" s="1"/>
    </row>
    <row r="1030" spans="22:22" ht="20.100000000000001" customHeight="1" x14ac:dyDescent="0.25">
      <c r="V1030" s="1"/>
    </row>
    <row r="1031" spans="22:22" ht="20.100000000000001" customHeight="1" x14ac:dyDescent="0.25">
      <c r="V1031" s="1"/>
    </row>
    <row r="1032" spans="22:22" ht="20.100000000000001" customHeight="1" x14ac:dyDescent="0.25">
      <c r="V1032" s="1"/>
    </row>
    <row r="1033" spans="22:22" x14ac:dyDescent="0.25">
      <c r="V1033" s="1"/>
    </row>
    <row r="1034" spans="22:22" x14ac:dyDescent="0.25">
      <c r="V1034" s="1"/>
    </row>
    <row r="1035" spans="22:22" x14ac:dyDescent="0.25">
      <c r="V1035" s="1"/>
    </row>
    <row r="1036" spans="22:22" x14ac:dyDescent="0.25">
      <c r="V1036" s="1"/>
    </row>
    <row r="1037" spans="22:22" x14ac:dyDescent="0.25">
      <c r="V1037" s="1"/>
    </row>
    <row r="1038" spans="22:22" x14ac:dyDescent="0.25">
      <c r="V1038" s="1"/>
    </row>
    <row r="1039" spans="22:22" x14ac:dyDescent="0.25">
      <c r="V1039" s="1"/>
    </row>
    <row r="1040" spans="22:22" x14ac:dyDescent="0.25">
      <c r="V1040" s="1"/>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973CE-88CE-4D39-81DC-C9277DD7C5B4}">
  <dimension ref="A1:BF25"/>
  <sheetViews>
    <sheetView topLeftCell="AR1" zoomScaleNormal="100" workbookViewId="0">
      <selection activeCell="AY13" sqref="AY13"/>
    </sheetView>
  </sheetViews>
  <sheetFormatPr defaultRowHeight="15" x14ac:dyDescent="0.25"/>
  <cols>
    <col min="1" max="1" width="13.140625" bestFit="1" customWidth="1"/>
    <col min="2" max="2" width="17.7109375" bestFit="1" customWidth="1"/>
    <col min="3" max="3" width="7.140625" bestFit="1" customWidth="1"/>
    <col min="4" max="4" width="9.28515625" bestFit="1" customWidth="1"/>
    <col min="5" max="5" width="11.28515625" style="27" bestFit="1" customWidth="1"/>
    <col min="6" max="6" width="13.140625" bestFit="1" customWidth="1"/>
    <col min="7" max="7" width="16.85546875" bestFit="1" customWidth="1"/>
    <col min="10" max="10" width="9.140625" style="27"/>
    <col min="11" max="11" width="13.140625" bestFit="1" customWidth="1"/>
    <col min="12" max="12" width="16.28515625" bestFit="1" customWidth="1"/>
    <col min="13" max="13" width="15.42578125" bestFit="1" customWidth="1"/>
    <col min="15" max="15" width="12.5703125" bestFit="1" customWidth="1"/>
    <col min="16" max="16" width="9.140625" style="27"/>
    <col min="17" max="17" width="13.140625" bestFit="1" customWidth="1"/>
    <col min="18" max="18" width="16.85546875" bestFit="1" customWidth="1"/>
    <col min="19" max="19" width="15.42578125" bestFit="1" customWidth="1"/>
    <col min="23" max="23" width="9.140625" style="27"/>
    <col min="24" max="24" width="13.140625" bestFit="1" customWidth="1"/>
    <col min="25" max="25" width="15.42578125" bestFit="1" customWidth="1"/>
    <col min="26" max="27" width="9" bestFit="1" customWidth="1"/>
    <col min="28" max="28" width="8" bestFit="1" customWidth="1"/>
    <col min="30" max="30" width="7" style="27" bestFit="1" customWidth="1"/>
    <col min="31" max="31" width="13.140625" bestFit="1" customWidth="1"/>
    <col min="32" max="32" width="18" bestFit="1" customWidth="1"/>
    <col min="33" max="33" width="9.42578125" bestFit="1" customWidth="1"/>
    <col min="34" max="34" width="3.42578125" bestFit="1" customWidth="1"/>
    <col min="36" max="36" width="8" bestFit="1" customWidth="1"/>
    <col min="37" max="37" width="6" bestFit="1" customWidth="1"/>
    <col min="38" max="38" width="4.7109375" bestFit="1" customWidth="1"/>
    <col min="39" max="39" width="8.140625" style="27" bestFit="1" customWidth="1"/>
    <col min="40" max="40" width="15.42578125" bestFit="1" customWidth="1"/>
    <col min="41" max="41" width="18" bestFit="1" customWidth="1"/>
    <col min="42" max="42" width="9.140625" style="27"/>
    <col min="43" max="43" width="24.5703125" bestFit="1" customWidth="1"/>
    <col min="44" max="44" width="16.28515625" bestFit="1" customWidth="1"/>
    <col min="45" max="45" width="4.85546875" bestFit="1" customWidth="1"/>
    <col min="46" max="46" width="9.28515625" bestFit="1" customWidth="1"/>
    <col min="47" max="47" width="11.28515625" bestFit="1" customWidth="1"/>
    <col min="48" max="48" width="11.28515625" style="27" bestFit="1" customWidth="1"/>
    <col min="49" max="49" width="13.140625" bestFit="1" customWidth="1"/>
    <col min="50" max="50" width="13.5703125" bestFit="1" customWidth="1"/>
    <col min="51" max="51" width="19.28515625" bestFit="1" customWidth="1"/>
    <col min="52" max="52" width="6.85546875" style="27" customWidth="1"/>
    <col min="53" max="53" width="27.42578125" bestFit="1" customWidth="1"/>
    <col min="56" max="56" width="9.140625" style="27"/>
    <col min="57" max="57" width="13.140625" bestFit="1" customWidth="1"/>
    <col min="58" max="58" width="15.42578125" bestFit="1" customWidth="1"/>
    <col min="59" max="59" width="3.42578125" bestFit="1" customWidth="1"/>
    <col min="60" max="60" width="4.42578125" bestFit="1" customWidth="1"/>
    <col min="61" max="61" width="4.28515625" bestFit="1" customWidth="1"/>
    <col min="62" max="62" width="4" bestFit="1" customWidth="1"/>
    <col min="63" max="63" width="4.5703125" bestFit="1" customWidth="1"/>
    <col min="64" max="64" width="4.28515625" bestFit="1" customWidth="1"/>
    <col min="65" max="65" width="11.28515625" bestFit="1" customWidth="1"/>
    <col min="66" max="71" width="6" bestFit="1" customWidth="1"/>
    <col min="72" max="80" width="7" bestFit="1" customWidth="1"/>
    <col min="81" max="84" width="5.7109375" bestFit="1" customWidth="1"/>
    <col min="85" max="94" width="6.7109375" bestFit="1" customWidth="1"/>
    <col min="95" max="95" width="6.28515625" bestFit="1" customWidth="1"/>
    <col min="96" max="107" width="7.28515625" bestFit="1" customWidth="1"/>
    <col min="108" max="111" width="6" bestFit="1" customWidth="1"/>
    <col min="112" max="113" width="7" bestFit="1" customWidth="1"/>
    <col min="114" max="114" width="11.28515625" bestFit="1" customWidth="1"/>
  </cols>
  <sheetData>
    <row r="1" spans="1:58" ht="15" customHeight="1" x14ac:dyDescent="0.25">
      <c r="A1" s="32" t="s">
        <v>349</v>
      </c>
      <c r="B1" s="32"/>
      <c r="C1" s="32"/>
      <c r="D1" s="35"/>
      <c r="E1" s="35"/>
      <c r="F1" s="32" t="s">
        <v>352</v>
      </c>
      <c r="G1" s="32"/>
      <c r="H1" s="32"/>
      <c r="I1" s="32"/>
      <c r="J1" s="32"/>
      <c r="K1" s="32"/>
      <c r="L1" s="32" t="s">
        <v>354</v>
      </c>
      <c r="M1" s="32"/>
      <c r="N1" s="32"/>
      <c r="O1" s="32"/>
      <c r="P1" s="32"/>
      <c r="Q1" s="32" t="s">
        <v>355</v>
      </c>
      <c r="R1" s="32"/>
      <c r="S1" s="32"/>
      <c r="T1" s="32"/>
      <c r="U1" s="32"/>
      <c r="V1" s="32"/>
      <c r="W1" s="32"/>
      <c r="X1" s="32" t="s">
        <v>356</v>
      </c>
      <c r="Y1" s="32"/>
      <c r="Z1" s="32"/>
      <c r="AA1" s="32"/>
      <c r="AB1" s="32"/>
      <c r="AC1" s="32"/>
      <c r="AD1" s="32"/>
      <c r="AE1" s="34" t="s">
        <v>357</v>
      </c>
      <c r="AF1" s="34"/>
      <c r="AG1" s="34"/>
      <c r="AH1" s="34"/>
      <c r="AI1" s="34"/>
      <c r="AJ1" s="34"/>
      <c r="AK1" s="35"/>
      <c r="AL1" s="30"/>
      <c r="AM1" s="30"/>
      <c r="AN1" s="36" t="s">
        <v>359</v>
      </c>
      <c r="AO1" s="36"/>
      <c r="AP1" s="31"/>
      <c r="AQ1" s="32" t="s">
        <v>360</v>
      </c>
      <c r="AR1" s="32"/>
      <c r="AS1" s="32"/>
      <c r="AT1" s="32"/>
      <c r="AU1" s="32"/>
      <c r="AV1" s="32"/>
      <c r="AW1" s="33" t="s">
        <v>362</v>
      </c>
      <c r="AX1" s="33"/>
      <c r="AY1" s="33"/>
      <c r="BA1" s="27"/>
      <c r="BB1" s="27"/>
      <c r="BC1" s="27"/>
    </row>
    <row r="2" spans="1:58" ht="15" customHeight="1" x14ac:dyDescent="0.25">
      <c r="A2" s="32"/>
      <c r="B2" s="32"/>
      <c r="C2" s="32"/>
      <c r="D2" s="35"/>
      <c r="E2" s="35"/>
      <c r="F2" s="32"/>
      <c r="G2" s="32"/>
      <c r="H2" s="32"/>
      <c r="I2" s="32"/>
      <c r="J2" s="32"/>
      <c r="K2" s="32"/>
      <c r="L2" s="32"/>
      <c r="M2" s="32"/>
      <c r="N2" s="32"/>
      <c r="O2" s="32"/>
      <c r="P2" s="32"/>
      <c r="Q2" s="32"/>
      <c r="R2" s="32"/>
      <c r="S2" s="32"/>
      <c r="T2" s="32"/>
      <c r="U2" s="32"/>
      <c r="V2" s="32"/>
      <c r="W2" s="32"/>
      <c r="X2" s="32"/>
      <c r="Y2" s="32"/>
      <c r="Z2" s="32"/>
      <c r="AA2" s="32"/>
      <c r="AB2" s="32"/>
      <c r="AC2" s="32"/>
      <c r="AD2" s="32"/>
      <c r="AE2" s="34"/>
      <c r="AF2" s="34"/>
      <c r="AG2" s="34"/>
      <c r="AH2" s="34"/>
      <c r="AI2" s="34"/>
      <c r="AJ2" s="34"/>
      <c r="AK2" s="35"/>
      <c r="AL2" s="30"/>
      <c r="AM2" s="30"/>
      <c r="AN2" s="36"/>
      <c r="AO2" s="36"/>
      <c r="AP2" s="31"/>
      <c r="AQ2" s="32"/>
      <c r="AR2" s="32"/>
      <c r="AS2" s="32"/>
      <c r="AT2" s="32"/>
      <c r="AU2" s="32"/>
      <c r="AV2" s="32"/>
      <c r="AW2" s="33"/>
      <c r="AX2" s="33"/>
      <c r="AY2" s="33"/>
      <c r="BA2" s="27"/>
      <c r="BB2" s="27"/>
      <c r="BC2" s="27"/>
    </row>
    <row r="3" spans="1:58" x14ac:dyDescent="0.25">
      <c r="AQ3" s="32"/>
      <c r="AR3" s="32"/>
      <c r="AS3" s="32"/>
      <c r="AT3" s="32"/>
      <c r="AU3" s="32"/>
      <c r="AV3" s="32"/>
      <c r="BA3" s="27"/>
      <c r="BB3" s="27"/>
      <c r="BC3" s="27"/>
    </row>
    <row r="4" spans="1:58" x14ac:dyDescent="0.25">
      <c r="BA4" s="39"/>
    </row>
    <row r="5" spans="1:58" x14ac:dyDescent="0.25">
      <c r="A5" s="23" t="s">
        <v>313</v>
      </c>
      <c r="B5" t="s">
        <v>350</v>
      </c>
      <c r="F5" s="23" t="s">
        <v>313</v>
      </c>
      <c r="G5" t="s">
        <v>351</v>
      </c>
      <c r="K5" s="23" t="s">
        <v>313</v>
      </c>
      <c r="L5" t="s">
        <v>353</v>
      </c>
      <c r="M5" t="s">
        <v>314</v>
      </c>
      <c r="Q5" s="23" t="s">
        <v>313</v>
      </c>
      <c r="R5" t="s">
        <v>351</v>
      </c>
      <c r="S5" t="s">
        <v>314</v>
      </c>
      <c r="X5" s="23" t="s">
        <v>313</v>
      </c>
      <c r="Y5" t="s">
        <v>314</v>
      </c>
      <c r="AE5" s="23" t="s">
        <v>313</v>
      </c>
      <c r="AF5" t="s">
        <v>358</v>
      </c>
      <c r="AN5" t="s">
        <v>314</v>
      </c>
    </row>
    <row r="6" spans="1:58" x14ac:dyDescent="0.25">
      <c r="A6" s="24" t="s">
        <v>274</v>
      </c>
      <c r="B6" s="25">
        <v>0.72222222222222221</v>
      </c>
      <c r="F6" s="24" t="s">
        <v>347</v>
      </c>
      <c r="G6" s="25">
        <v>0.47619047619047616</v>
      </c>
      <c r="K6" s="24" t="s">
        <v>342</v>
      </c>
      <c r="L6" s="17">
        <v>50</v>
      </c>
      <c r="M6" s="28">
        <v>525555.90999999992</v>
      </c>
      <c r="N6">
        <f>GETPIVOTDATA("Count of المحافظة",$K$5,"المحافظة","القاهرة")</f>
        <v>50</v>
      </c>
      <c r="O6" s="37">
        <f>GETPIVOTDATA("Sum of سعر البيع ",$K$5,"المحافظة","القاهرة")</f>
        <v>525555.90999999992</v>
      </c>
      <c r="Q6" s="24" t="s">
        <v>6</v>
      </c>
      <c r="R6" s="17">
        <v>78</v>
      </c>
      <c r="S6" s="28">
        <v>868668</v>
      </c>
      <c r="X6" s="24" t="s">
        <v>141</v>
      </c>
      <c r="Y6" s="28">
        <v>935192.81544000003</v>
      </c>
      <c r="AE6" s="24" t="s">
        <v>14</v>
      </c>
      <c r="AF6" s="28">
        <v>64</v>
      </c>
      <c r="AN6" s="28">
        <v>1281985.81544</v>
      </c>
      <c r="AO6" s="38">
        <f>GETPIVOTDATA("سعر البيع ",$AN$5)</f>
        <v>1281985.81544</v>
      </c>
      <c r="AQ6" s="23" t="s">
        <v>321</v>
      </c>
      <c r="AR6" s="23" t="s">
        <v>318</v>
      </c>
      <c r="AW6" s="23" t="s">
        <v>313</v>
      </c>
      <c r="AX6" t="s">
        <v>361</v>
      </c>
      <c r="BA6" t="s">
        <v>363</v>
      </c>
      <c r="BE6" s="23" t="s">
        <v>313</v>
      </c>
      <c r="BF6" t="s">
        <v>314</v>
      </c>
    </row>
    <row r="7" spans="1:58" x14ac:dyDescent="0.25">
      <c r="A7" s="24" t="s">
        <v>276</v>
      </c>
      <c r="B7" s="25">
        <v>0.27777777777777779</v>
      </c>
      <c r="F7" s="24" t="s">
        <v>276</v>
      </c>
      <c r="G7" s="25">
        <v>0.30952380952380953</v>
      </c>
      <c r="K7" s="24" t="s">
        <v>338</v>
      </c>
      <c r="L7" s="17">
        <v>23</v>
      </c>
      <c r="M7" s="28">
        <v>245908</v>
      </c>
      <c r="N7">
        <f>GETPIVOTDATA("Count of المحافظة",$K$5,"المحافظة","الجيزة")</f>
        <v>23</v>
      </c>
      <c r="O7" s="37">
        <f>GETPIVOTDATA("Sum of سعر البيع ",$K$5,"المحافظة","الجيزة")</f>
        <v>245908</v>
      </c>
      <c r="Q7" s="24" t="s">
        <v>47</v>
      </c>
      <c r="R7" s="17">
        <v>16</v>
      </c>
      <c r="S7" s="28">
        <v>194340</v>
      </c>
      <c r="X7" s="24" t="s">
        <v>150</v>
      </c>
      <c r="Y7" s="28">
        <v>164687</v>
      </c>
      <c r="AE7" s="29" t="s">
        <v>6</v>
      </c>
      <c r="AF7" s="28">
        <v>53</v>
      </c>
      <c r="AQ7" s="23" t="s">
        <v>313</v>
      </c>
      <c r="AR7">
        <v>0</v>
      </c>
      <c r="AS7" t="s">
        <v>322</v>
      </c>
      <c r="AT7" t="s">
        <v>323</v>
      </c>
      <c r="AU7" t="s">
        <v>316</v>
      </c>
      <c r="AW7" s="24" t="s">
        <v>171</v>
      </c>
      <c r="AX7" s="28">
        <v>102</v>
      </c>
      <c r="BA7" s="28">
        <v>15.325396825396826</v>
      </c>
      <c r="BC7" s="37">
        <f>GETPIVOTDATA("مدة التسليم (الفعلية)",$BA$6)</f>
        <v>15.325396825396826</v>
      </c>
      <c r="BE7" s="24" t="s">
        <v>364</v>
      </c>
      <c r="BF7" s="28">
        <v>16000</v>
      </c>
    </row>
    <row r="8" spans="1:58" x14ac:dyDescent="0.25">
      <c r="A8" s="24" t="s">
        <v>316</v>
      </c>
      <c r="B8" s="25">
        <v>1</v>
      </c>
      <c r="F8" s="24" t="s">
        <v>348</v>
      </c>
      <c r="G8" s="25">
        <v>0.21428571428571427</v>
      </c>
      <c r="K8" s="24" t="s">
        <v>310</v>
      </c>
      <c r="L8" s="17">
        <v>15</v>
      </c>
      <c r="M8" s="28">
        <v>161493</v>
      </c>
      <c r="N8">
        <f>GETPIVOTDATA("Count of المحافظة",$K$5,"المحافظة","غير معروف")</f>
        <v>15</v>
      </c>
      <c r="O8" s="37">
        <f>GETPIVOTDATA("Sum of سعر البيع ",$K$5,"المحافظة","غير معروف")</f>
        <v>161493</v>
      </c>
      <c r="Q8" s="24" t="s">
        <v>38</v>
      </c>
      <c r="R8" s="17">
        <v>9</v>
      </c>
      <c r="S8" s="28">
        <v>82900</v>
      </c>
      <c r="X8" s="24" t="s">
        <v>237</v>
      </c>
      <c r="Y8" s="28">
        <v>134108</v>
      </c>
      <c r="AE8" s="29" t="s">
        <v>47</v>
      </c>
      <c r="AF8" s="28">
        <v>7</v>
      </c>
      <c r="AQ8" s="24" t="s">
        <v>256</v>
      </c>
      <c r="AR8" s="26">
        <v>1</v>
      </c>
      <c r="AS8" s="26">
        <v>0</v>
      </c>
      <c r="AT8" s="26">
        <v>0</v>
      </c>
      <c r="AU8" s="26">
        <v>1</v>
      </c>
      <c r="AW8" s="24" t="s">
        <v>169</v>
      </c>
      <c r="AX8" s="28">
        <v>3</v>
      </c>
      <c r="BE8" s="24" t="s">
        <v>365</v>
      </c>
      <c r="BF8" s="28">
        <v>31775</v>
      </c>
    </row>
    <row r="9" spans="1:58" x14ac:dyDescent="0.25">
      <c r="F9" s="24" t="s">
        <v>316</v>
      </c>
      <c r="G9" s="25">
        <v>1</v>
      </c>
      <c r="K9" s="24" t="s">
        <v>317</v>
      </c>
      <c r="L9" s="17"/>
      <c r="M9" s="28">
        <v>89718</v>
      </c>
      <c r="Q9" s="24" t="s">
        <v>51</v>
      </c>
      <c r="R9" s="17">
        <v>13</v>
      </c>
      <c r="S9" s="28">
        <v>68731.91</v>
      </c>
      <c r="X9" s="24" t="s">
        <v>332</v>
      </c>
      <c r="Y9" s="28">
        <v>22000</v>
      </c>
      <c r="AE9" s="29" t="s">
        <v>51</v>
      </c>
      <c r="AF9" s="28">
        <v>2</v>
      </c>
      <c r="AQ9" s="24" t="s">
        <v>193</v>
      </c>
      <c r="AR9" s="26">
        <v>0</v>
      </c>
      <c r="AS9" s="26">
        <v>0</v>
      </c>
      <c r="AT9" s="26">
        <v>1</v>
      </c>
      <c r="AU9" s="26">
        <v>1</v>
      </c>
      <c r="AW9" s="24" t="s">
        <v>191</v>
      </c>
      <c r="AX9" s="28">
        <v>20</v>
      </c>
      <c r="BE9" s="24" t="s">
        <v>366</v>
      </c>
      <c r="BF9" s="28">
        <v>89253</v>
      </c>
    </row>
    <row r="10" spans="1:58" x14ac:dyDescent="0.25">
      <c r="K10" s="24" t="s">
        <v>343</v>
      </c>
      <c r="L10" s="17">
        <v>11</v>
      </c>
      <c r="M10" s="28">
        <v>63101</v>
      </c>
      <c r="N10">
        <f>GETPIVOTDATA("Count of المحافظة",$K$5,"المحافظة","القليوبية")</f>
        <v>11</v>
      </c>
      <c r="O10" s="37">
        <f>GETPIVOTDATA("Sum of سعر البيع ",$K$5,"المحافظة","القليوبية")</f>
        <v>63101</v>
      </c>
      <c r="Q10" s="24" t="s">
        <v>31</v>
      </c>
      <c r="R10" s="17">
        <v>3</v>
      </c>
      <c r="S10" s="28">
        <v>27150</v>
      </c>
      <c r="X10" s="24" t="s">
        <v>310</v>
      </c>
      <c r="Y10" s="28">
        <v>16698</v>
      </c>
      <c r="AE10" s="29" t="s">
        <v>216</v>
      </c>
      <c r="AF10" s="28">
        <v>1</v>
      </c>
      <c r="AQ10" s="24" t="s">
        <v>24</v>
      </c>
      <c r="AR10" s="26">
        <v>0.16666666666666666</v>
      </c>
      <c r="AS10" s="26">
        <v>0.5</v>
      </c>
      <c r="AT10" s="26">
        <v>0.33333333333333331</v>
      </c>
      <c r="AU10" s="26">
        <v>1</v>
      </c>
      <c r="AW10" s="24" t="s">
        <v>180</v>
      </c>
      <c r="AX10" s="28">
        <v>1</v>
      </c>
      <c r="BE10" s="24" t="s">
        <v>367</v>
      </c>
      <c r="BF10" s="28">
        <v>670451</v>
      </c>
    </row>
    <row r="11" spans="1:58" x14ac:dyDescent="0.25">
      <c r="K11" s="24" t="s">
        <v>183</v>
      </c>
      <c r="L11" s="17">
        <v>8</v>
      </c>
      <c r="M11" s="28">
        <v>62520.905440000002</v>
      </c>
      <c r="N11">
        <f>GETPIVOTDATA("Count of المحافظة",$K$5,"المحافظة","السويس")</f>
        <v>8</v>
      </c>
      <c r="O11" s="37">
        <f>GETPIVOTDATA("Sum of سعر البيع ",$K$5,"المحافظة","السويس")</f>
        <v>62520.905440000002</v>
      </c>
      <c r="Q11" s="24" t="s">
        <v>183</v>
      </c>
      <c r="R11" s="17">
        <v>4</v>
      </c>
      <c r="S11" s="28">
        <v>23144.905440000002</v>
      </c>
      <c r="X11" s="24" t="s">
        <v>333</v>
      </c>
      <c r="Y11" s="28">
        <v>9300</v>
      </c>
      <c r="AE11" s="29" t="s">
        <v>224</v>
      </c>
      <c r="AF11" s="28">
        <v>1</v>
      </c>
      <c r="AQ11" s="24" t="s">
        <v>172</v>
      </c>
      <c r="AR11" s="26">
        <v>1.2500000000000001E-2</v>
      </c>
      <c r="AS11" s="26">
        <v>0.55000000000000004</v>
      </c>
      <c r="AT11" s="26">
        <v>0.4375</v>
      </c>
      <c r="AU11" s="26">
        <v>1</v>
      </c>
      <c r="AW11" s="24" t="s">
        <v>316</v>
      </c>
      <c r="AX11" s="28">
        <v>126</v>
      </c>
      <c r="BE11" s="24" t="s">
        <v>368</v>
      </c>
      <c r="BF11" s="28">
        <v>218827.81544000001</v>
      </c>
    </row>
    <row r="12" spans="1:58" x14ac:dyDescent="0.25">
      <c r="K12" s="24" t="s">
        <v>339</v>
      </c>
      <c r="L12" s="17">
        <v>5</v>
      </c>
      <c r="M12" s="28">
        <v>54762</v>
      </c>
      <c r="N12">
        <f>GETPIVOTDATA("Count of المحافظة",$K$5,"المحافظة","الإسكندرية")</f>
        <v>5</v>
      </c>
      <c r="O12" s="37">
        <f>GETPIVOTDATA("Sum of سعر البيع ",$K$5,"المحافظة","الإسكندرية")</f>
        <v>54762</v>
      </c>
      <c r="Q12" s="24" t="s">
        <v>216</v>
      </c>
      <c r="R12" s="17">
        <v>2</v>
      </c>
      <c r="S12" s="28">
        <v>9655</v>
      </c>
      <c r="X12" s="24" t="s">
        <v>187</v>
      </c>
      <c r="Y12" s="28"/>
      <c r="AE12" s="24" t="s">
        <v>315</v>
      </c>
      <c r="AF12" s="28">
        <v>44</v>
      </c>
      <c r="AQ12" s="24" t="s">
        <v>320</v>
      </c>
      <c r="AR12" s="26">
        <v>0.95</v>
      </c>
      <c r="AS12" s="26">
        <v>0.05</v>
      </c>
      <c r="AT12" s="26">
        <v>0</v>
      </c>
      <c r="AU12" s="26">
        <v>1</v>
      </c>
      <c r="BE12" s="24" t="s">
        <v>369</v>
      </c>
      <c r="BF12" s="28">
        <v>184671</v>
      </c>
    </row>
    <row r="13" spans="1:58" x14ac:dyDescent="0.25">
      <c r="K13" s="24" t="s">
        <v>341</v>
      </c>
      <c r="L13" s="17">
        <v>3</v>
      </c>
      <c r="M13" s="28">
        <v>41640</v>
      </c>
      <c r="N13">
        <f>GETPIVOTDATA("Count of المحافظة",$K$5,"المحافظة","البحر الأحمر")</f>
        <v>3</v>
      </c>
      <c r="O13" s="37">
        <f>GETPIVOTDATA("Sum of سعر البيع ",$K$5,"المحافظة","البحر الأحمر")</f>
        <v>41640</v>
      </c>
      <c r="Q13" s="24" t="s">
        <v>224</v>
      </c>
      <c r="R13" s="17">
        <v>1</v>
      </c>
      <c r="S13" s="28">
        <v>7396</v>
      </c>
      <c r="X13" s="24" t="s">
        <v>316</v>
      </c>
      <c r="Y13" s="28">
        <v>1281985.81544</v>
      </c>
      <c r="AE13" s="29" t="s">
        <v>6</v>
      </c>
      <c r="AF13" s="28">
        <v>25</v>
      </c>
      <c r="AQ13" s="24" t="s">
        <v>32</v>
      </c>
      <c r="AR13" s="26">
        <v>1</v>
      </c>
      <c r="AS13" s="26">
        <v>0</v>
      </c>
      <c r="AT13" s="26">
        <v>0</v>
      </c>
      <c r="AU13" s="26">
        <v>1</v>
      </c>
      <c r="BE13" s="24" t="s">
        <v>370</v>
      </c>
      <c r="BF13" s="28">
        <v>71008</v>
      </c>
    </row>
    <row r="14" spans="1:58" x14ac:dyDescent="0.25">
      <c r="K14" s="24" t="s">
        <v>340</v>
      </c>
      <c r="L14" s="17">
        <v>2</v>
      </c>
      <c r="M14" s="28">
        <v>24288</v>
      </c>
      <c r="N14">
        <f>GETPIVOTDATA("Count of المحافظة",$K$5,"المحافظة","مطروح")</f>
        <v>2</v>
      </c>
      <c r="O14" s="37">
        <f>GETPIVOTDATA("Sum of سعر البيع ",$K$5,"المحافظة","مطروح")</f>
        <v>24288</v>
      </c>
      <c r="Q14" s="24" t="s">
        <v>316</v>
      </c>
      <c r="R14" s="17">
        <v>126</v>
      </c>
      <c r="S14" s="28">
        <v>1281985.81544</v>
      </c>
      <c r="AE14" s="29" t="s">
        <v>47</v>
      </c>
      <c r="AF14" s="28">
        <v>8</v>
      </c>
      <c r="AQ14" s="24" t="s">
        <v>316</v>
      </c>
      <c r="AR14" s="26">
        <v>0.21428571428571427</v>
      </c>
      <c r="AS14" s="26">
        <v>0.42857142857142855</v>
      </c>
      <c r="AT14" s="26">
        <v>0.35714285714285715</v>
      </c>
      <c r="AU14" s="26">
        <v>1</v>
      </c>
      <c r="BE14" s="24" t="s">
        <v>316</v>
      </c>
      <c r="BF14" s="28">
        <v>1281985.81544</v>
      </c>
    </row>
    <row r="15" spans="1:58" x14ac:dyDescent="0.25">
      <c r="K15" s="24" t="s">
        <v>344</v>
      </c>
      <c r="L15" s="17">
        <v>1</v>
      </c>
      <c r="M15" s="28">
        <v>12999</v>
      </c>
      <c r="N15">
        <f>GETPIVOTDATA("Count of المحافظة",$K$5,"المحافظة","أسيوط")</f>
        <v>1</v>
      </c>
      <c r="O15" s="37">
        <f>GETPIVOTDATA("Sum of سعر البيع ",$K$5,"المحافظة","أسيوط")</f>
        <v>12999</v>
      </c>
      <c r="AE15" s="29" t="s">
        <v>38</v>
      </c>
      <c r="AF15" s="28">
        <v>6</v>
      </c>
    </row>
    <row r="16" spans="1:58" x14ac:dyDescent="0.25">
      <c r="K16" s="24" t="s">
        <v>316</v>
      </c>
      <c r="L16" s="17">
        <v>118</v>
      </c>
      <c r="M16" s="28">
        <v>1281985.81544</v>
      </c>
      <c r="AE16" s="29" t="s">
        <v>31</v>
      </c>
      <c r="AF16" s="28">
        <v>3</v>
      </c>
    </row>
    <row r="17" spans="31:32" x14ac:dyDescent="0.25">
      <c r="AE17" s="29" t="s">
        <v>51</v>
      </c>
      <c r="AF17" s="28">
        <v>2</v>
      </c>
    </row>
    <row r="18" spans="31:32" x14ac:dyDescent="0.25">
      <c r="AE18" s="24" t="s">
        <v>310</v>
      </c>
      <c r="AF18" s="28">
        <v>4</v>
      </c>
    </row>
    <row r="19" spans="31:32" x14ac:dyDescent="0.25">
      <c r="AE19" s="29" t="s">
        <v>183</v>
      </c>
      <c r="AF19" s="28">
        <v>4</v>
      </c>
    </row>
    <row r="20" spans="31:32" x14ac:dyDescent="0.25">
      <c r="AE20" s="24" t="s">
        <v>79</v>
      </c>
      <c r="AF20" s="28">
        <v>14</v>
      </c>
    </row>
    <row r="21" spans="31:32" x14ac:dyDescent="0.25">
      <c r="AE21" s="29" t="s">
        <v>51</v>
      </c>
      <c r="AF21" s="28">
        <v>9</v>
      </c>
    </row>
    <row r="22" spans="31:32" x14ac:dyDescent="0.25">
      <c r="AE22" s="29" t="s">
        <v>38</v>
      </c>
      <c r="AF22" s="28">
        <v>3</v>
      </c>
    </row>
    <row r="23" spans="31:32" x14ac:dyDescent="0.25">
      <c r="AE23" s="29" t="s">
        <v>216</v>
      </c>
      <c r="AF23" s="28">
        <v>1</v>
      </c>
    </row>
    <row r="24" spans="31:32" x14ac:dyDescent="0.25">
      <c r="AE24" s="29" t="s">
        <v>47</v>
      </c>
      <c r="AF24" s="28">
        <v>1</v>
      </c>
    </row>
    <row r="25" spans="31:32" x14ac:dyDescent="0.25">
      <c r="AE25" s="24" t="s">
        <v>316</v>
      </c>
      <c r="AF25" s="28">
        <v>126</v>
      </c>
    </row>
  </sheetData>
  <mergeCells count="11">
    <mergeCell ref="A1:C2"/>
    <mergeCell ref="D1:E2"/>
    <mergeCell ref="F1:K2"/>
    <mergeCell ref="L1:P2"/>
    <mergeCell ref="Q1:W2"/>
    <mergeCell ref="AQ1:AV3"/>
    <mergeCell ref="AW1:AY2"/>
    <mergeCell ref="X1:AD2"/>
    <mergeCell ref="AE1:AJ2"/>
    <mergeCell ref="AK1:AK2"/>
    <mergeCell ref="AN1:AO2"/>
  </mergeCells>
  <pageMargins left="0.7" right="0.7" top="0.75" bottom="0.75" header="0.3" footer="0.3"/>
  <pageSetup paperSize="9" orientation="portrait" r:id="rId12"/>
  <drawing r:id="rId13"/>
  <extLst>
    <ext xmlns:x14="http://schemas.microsoft.com/office/spreadsheetml/2009/9/main" uri="{A8765BA9-456A-4dab-B4F3-ACF838C121DE}">
      <x14:slicerList>
        <x14:slicer r:id="rId1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F28B5-01E3-44F4-9DC8-68026DC936C1}">
  <dimension ref="A1"/>
  <sheetViews>
    <sheetView showGridLines="0" workbookViewId="0">
      <selection activeCell="M14" sqref="M14"/>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DB033-E6CB-4C50-A8EE-81153AD47A31}">
  <dimension ref="A1"/>
  <sheetViews>
    <sheetView showGridLines="0" showRuler="0" zoomScaleNormal="100" workbookViewId="0">
      <selection activeCell="K27" sqref="K27"/>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AFBC-7EEF-46A1-A5B0-B465AB14C661}">
  <dimension ref="A1"/>
  <sheetViews>
    <sheetView showGridLines="0" tabSelected="1" workbookViewId="0">
      <selection activeCell="L23" sqref="L2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47BA5B-A337-44DC-A740-BDB2997C76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الارشادات</vt:lpstr>
      <vt:lpstr>Table1</vt:lpstr>
      <vt:lpstr>Table1 (2)</vt:lpstr>
      <vt:lpstr>Table1 (3)</vt:lpstr>
      <vt:lpstr>Table1 (4)</vt:lpstr>
      <vt:lpstr>البيانات</vt:lpstr>
      <vt:lpstr>Sheet5</vt:lpstr>
      <vt:lpstr>Sheet2</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Abdallah</cp:lastModifiedBy>
  <dcterms:created xsi:type="dcterms:W3CDTF">2015-06-05T18:17:20Z</dcterms:created>
  <dcterms:modified xsi:type="dcterms:W3CDTF">2025-12-02T00:15:21Z</dcterms:modified>
</cp:coreProperties>
</file>